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ndrew\Desktop\боц8\"/>
    </mc:Choice>
  </mc:AlternateContent>
  <xr:revisionPtr revIDLastSave="0" documentId="8_{9E81F01E-53AB-48B9-9215-351B9BB93222}" xr6:coauthVersionLast="47" xr6:coauthVersionMax="47" xr10:uidLastSave="{00000000-0000-0000-0000-000000000000}"/>
  <bookViews>
    <workbookView xWindow="6030" yWindow="3945" windowWidth="21600" windowHeight="113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2" i="1" l="1"/>
  <c r="C82" i="1"/>
  <c r="D82" i="1"/>
  <c r="E82" i="1"/>
  <c r="F82" i="1"/>
  <c r="G82" i="1"/>
  <c r="H82" i="1"/>
  <c r="I82" i="1"/>
  <c r="B83" i="1"/>
  <c r="C83" i="1"/>
  <c r="D83" i="1"/>
  <c r="E83" i="1"/>
  <c r="F83" i="1"/>
  <c r="G83" i="1"/>
  <c r="H83" i="1"/>
  <c r="I83" i="1"/>
  <c r="B84" i="1"/>
  <c r="C84" i="1"/>
  <c r="D84" i="1"/>
  <c r="E84" i="1"/>
  <c r="F84" i="1"/>
  <c r="G84" i="1"/>
  <c r="H84" i="1"/>
  <c r="I84" i="1"/>
  <c r="B85" i="1"/>
  <c r="C85" i="1"/>
  <c r="D85" i="1"/>
  <c r="E85" i="1"/>
  <c r="F85" i="1"/>
  <c r="G85" i="1"/>
  <c r="H85" i="1"/>
  <c r="I85" i="1"/>
  <c r="B86" i="1"/>
  <c r="C86" i="1"/>
  <c r="D86" i="1"/>
  <c r="E86" i="1"/>
  <c r="F86" i="1"/>
  <c r="G86" i="1"/>
  <c r="H86" i="1"/>
  <c r="I86" i="1"/>
  <c r="B87" i="1"/>
  <c r="C87" i="1"/>
  <c r="D87" i="1"/>
  <c r="E87" i="1"/>
  <c r="F87" i="1"/>
  <c r="G87" i="1"/>
  <c r="H87" i="1"/>
  <c r="I87" i="1"/>
  <c r="B88" i="1"/>
  <c r="C88" i="1"/>
  <c r="D88" i="1"/>
  <c r="E88" i="1"/>
  <c r="F88" i="1"/>
  <c r="G88" i="1"/>
  <c r="H88" i="1"/>
  <c r="I88" i="1"/>
  <c r="C81" i="1"/>
  <c r="D81" i="1"/>
  <c r="E81" i="1"/>
  <c r="F81" i="1"/>
  <c r="G81" i="1"/>
  <c r="H81" i="1"/>
  <c r="I81" i="1"/>
  <c r="B81" i="1"/>
  <c r="B71" i="1"/>
  <c r="C71" i="1"/>
  <c r="D71" i="1"/>
  <c r="E71" i="1"/>
  <c r="F71" i="1"/>
  <c r="G71" i="1"/>
  <c r="H71" i="1"/>
  <c r="I71" i="1"/>
  <c r="B72" i="1"/>
  <c r="C72" i="1"/>
  <c r="D72" i="1"/>
  <c r="E72" i="1"/>
  <c r="F72" i="1"/>
  <c r="G72" i="1"/>
  <c r="H72" i="1"/>
  <c r="I72" i="1"/>
  <c r="B73" i="1"/>
  <c r="C73" i="1"/>
  <c r="D73" i="1"/>
  <c r="E73" i="1"/>
  <c r="F73" i="1"/>
  <c r="G73" i="1"/>
  <c r="H73" i="1"/>
  <c r="I73" i="1"/>
  <c r="B74" i="1"/>
  <c r="C74" i="1"/>
  <c r="D74" i="1"/>
  <c r="E74" i="1"/>
  <c r="F74" i="1"/>
  <c r="G74" i="1"/>
  <c r="H74" i="1"/>
  <c r="I74" i="1"/>
  <c r="B75" i="1"/>
  <c r="C75" i="1"/>
  <c r="D75" i="1"/>
  <c r="E75" i="1"/>
  <c r="F75" i="1"/>
  <c r="G75" i="1"/>
  <c r="H75" i="1"/>
  <c r="I75" i="1"/>
  <c r="B76" i="1"/>
  <c r="C76" i="1"/>
  <c r="D76" i="1"/>
  <c r="E76" i="1"/>
  <c r="F76" i="1"/>
  <c r="G76" i="1"/>
  <c r="H76" i="1"/>
  <c r="I76" i="1"/>
  <c r="B77" i="1"/>
  <c r="C77" i="1"/>
  <c r="D77" i="1"/>
  <c r="E77" i="1"/>
  <c r="F77" i="1"/>
  <c r="G77" i="1"/>
  <c r="H77" i="1"/>
  <c r="I77" i="1"/>
  <c r="C70" i="1"/>
  <c r="D70" i="1"/>
  <c r="E70" i="1"/>
  <c r="F70" i="1"/>
  <c r="G70" i="1"/>
  <c r="H70" i="1"/>
  <c r="I70" i="1"/>
  <c r="B70" i="1"/>
  <c r="I55" i="1"/>
  <c r="H55" i="1"/>
  <c r="G55" i="1"/>
  <c r="F55" i="1"/>
  <c r="E55" i="1"/>
  <c r="D55" i="1"/>
  <c r="C55" i="1"/>
  <c r="B55" i="1"/>
  <c r="I54" i="1"/>
  <c r="H54" i="1"/>
  <c r="G54" i="1"/>
  <c r="F54" i="1"/>
  <c r="E54" i="1"/>
  <c r="D54" i="1"/>
  <c r="C54" i="1"/>
  <c r="B54" i="1"/>
  <c r="I53" i="1"/>
  <c r="H53" i="1"/>
  <c r="G53" i="1"/>
  <c r="F53" i="1"/>
  <c r="E53" i="1"/>
  <c r="D53" i="1"/>
  <c r="C53" i="1"/>
  <c r="B53" i="1"/>
  <c r="I52" i="1"/>
  <c r="H52" i="1"/>
  <c r="G52" i="1"/>
  <c r="F52" i="1"/>
  <c r="E52" i="1"/>
  <c r="D52" i="1"/>
  <c r="C52" i="1"/>
  <c r="B52" i="1"/>
  <c r="I51" i="1"/>
  <c r="H51" i="1"/>
  <c r="G51" i="1"/>
  <c r="F51" i="1"/>
  <c r="E51" i="1"/>
  <c r="D51" i="1"/>
  <c r="C51" i="1"/>
  <c r="B51" i="1"/>
  <c r="I50" i="1"/>
  <c r="H50" i="1"/>
  <c r="G50" i="1"/>
  <c r="F50" i="1"/>
  <c r="E50" i="1"/>
  <c r="D50" i="1"/>
  <c r="C50" i="1"/>
  <c r="B50" i="1"/>
  <c r="I49" i="1"/>
  <c r="H49" i="1"/>
  <c r="G49" i="1"/>
  <c r="F49" i="1"/>
  <c r="E49" i="1"/>
  <c r="D49" i="1"/>
  <c r="C49" i="1"/>
  <c r="B49" i="1"/>
  <c r="I48" i="1"/>
  <c r="H48" i="1"/>
  <c r="G48" i="1"/>
  <c r="F48" i="1"/>
  <c r="E48" i="1"/>
  <c r="D48" i="1"/>
  <c r="C48" i="1"/>
  <c r="B48" i="1"/>
  <c r="I44" i="1"/>
  <c r="H44" i="1"/>
  <c r="G44" i="1"/>
  <c r="F44" i="1"/>
  <c r="E44" i="1"/>
  <c r="D44" i="1"/>
  <c r="C44" i="1"/>
  <c r="B44" i="1"/>
  <c r="I43" i="1"/>
  <c r="H43" i="1"/>
  <c r="G43" i="1"/>
  <c r="F43" i="1"/>
  <c r="E43" i="1"/>
  <c r="D43" i="1"/>
  <c r="C43" i="1"/>
  <c r="B43" i="1"/>
  <c r="I42" i="1"/>
  <c r="H42" i="1"/>
  <c r="G42" i="1"/>
  <c r="F42" i="1"/>
  <c r="E42" i="1"/>
  <c r="D42" i="1"/>
  <c r="C42" i="1"/>
  <c r="B42" i="1"/>
  <c r="I41" i="1"/>
  <c r="H41" i="1"/>
  <c r="G41" i="1"/>
  <c r="F41" i="1"/>
  <c r="E41" i="1"/>
  <c r="D41" i="1"/>
  <c r="C41" i="1"/>
  <c r="B41" i="1"/>
  <c r="I40" i="1"/>
  <c r="H40" i="1"/>
  <c r="G40" i="1"/>
  <c r="F40" i="1"/>
  <c r="E40" i="1"/>
  <c r="D40" i="1"/>
  <c r="C40" i="1"/>
  <c r="B40" i="1"/>
  <c r="I39" i="1"/>
  <c r="H39" i="1"/>
  <c r="G39" i="1"/>
  <c r="F39" i="1"/>
  <c r="E39" i="1"/>
  <c r="D39" i="1"/>
  <c r="C39" i="1"/>
  <c r="B39" i="1"/>
  <c r="I38" i="1"/>
  <c r="H38" i="1"/>
  <c r="G38" i="1"/>
  <c r="F38" i="1"/>
  <c r="E38" i="1"/>
  <c r="D38" i="1"/>
  <c r="C38" i="1"/>
  <c r="B38" i="1"/>
  <c r="I37" i="1"/>
  <c r="H37" i="1"/>
  <c r="G37" i="1"/>
  <c r="F37" i="1"/>
  <c r="E37" i="1"/>
  <c r="D37" i="1"/>
  <c r="C37" i="1"/>
  <c r="B37" i="1"/>
  <c r="I21" i="1"/>
  <c r="H21" i="1"/>
  <c r="G21" i="1"/>
  <c r="F21" i="1"/>
  <c r="E21" i="1"/>
  <c r="D21" i="1"/>
  <c r="C21" i="1"/>
  <c r="B21" i="1"/>
  <c r="I20" i="1"/>
  <c r="I31" i="1" s="1"/>
  <c r="H20" i="1"/>
  <c r="G20" i="1"/>
  <c r="G31" i="1" s="1"/>
  <c r="F20" i="1"/>
  <c r="E20" i="1"/>
  <c r="E31" i="1" s="1"/>
  <c r="D20" i="1"/>
  <c r="C20" i="1"/>
  <c r="C31" i="1" s="1"/>
  <c r="B20" i="1"/>
  <c r="I19" i="1"/>
  <c r="I30" i="1" s="1"/>
  <c r="H19" i="1"/>
  <c r="G19" i="1"/>
  <c r="G30" i="1" s="1"/>
  <c r="F19" i="1"/>
  <c r="E19" i="1"/>
  <c r="E30" i="1" s="1"/>
  <c r="D19" i="1"/>
  <c r="C19" i="1"/>
  <c r="C30" i="1" s="1"/>
  <c r="B19" i="1"/>
  <c r="I18" i="1"/>
  <c r="I29" i="1" s="1"/>
  <c r="H18" i="1"/>
  <c r="G18" i="1"/>
  <c r="G29" i="1" s="1"/>
  <c r="F18" i="1"/>
  <c r="E18" i="1"/>
  <c r="E29" i="1" s="1"/>
  <c r="D18" i="1"/>
  <c r="C18" i="1"/>
  <c r="B18" i="1"/>
  <c r="I17" i="1"/>
  <c r="H17" i="1"/>
  <c r="G17" i="1"/>
  <c r="F17" i="1"/>
  <c r="E17" i="1"/>
  <c r="D17" i="1"/>
  <c r="C17" i="1"/>
  <c r="B17" i="1"/>
  <c r="I16" i="1"/>
  <c r="H16" i="1"/>
  <c r="G16" i="1"/>
  <c r="F16" i="1"/>
  <c r="E16" i="1"/>
  <c r="D16" i="1"/>
  <c r="C16" i="1"/>
  <c r="B16" i="1"/>
  <c r="I15" i="1"/>
  <c r="H15" i="1"/>
  <c r="G15" i="1"/>
  <c r="F15" i="1"/>
  <c r="E15" i="1"/>
  <c r="D15" i="1"/>
  <c r="C15" i="1"/>
  <c r="B15" i="1"/>
  <c r="I14" i="1"/>
  <c r="H14" i="1"/>
  <c r="G14" i="1"/>
  <c r="F14" i="1"/>
  <c r="E14" i="1"/>
  <c r="D14" i="1"/>
  <c r="C14" i="1"/>
  <c r="B14" i="1"/>
  <c r="I10" i="1"/>
  <c r="H10" i="1"/>
  <c r="G10" i="1"/>
  <c r="F10" i="1"/>
  <c r="E10" i="1"/>
  <c r="D10" i="1"/>
  <c r="C10" i="1"/>
  <c r="B10" i="1"/>
  <c r="I9" i="1"/>
  <c r="H9" i="1"/>
  <c r="G9" i="1"/>
  <c r="F9" i="1"/>
  <c r="E9" i="1"/>
  <c r="D9" i="1"/>
  <c r="C9" i="1"/>
  <c r="B9" i="1"/>
  <c r="I8" i="1"/>
  <c r="H8" i="1"/>
  <c r="G8" i="1"/>
  <c r="F8" i="1"/>
  <c r="E8" i="1"/>
  <c r="D8" i="1"/>
  <c r="C8" i="1"/>
  <c r="B8" i="1"/>
  <c r="I7" i="1"/>
  <c r="H7" i="1"/>
  <c r="G7" i="1"/>
  <c r="F7" i="1"/>
  <c r="E7" i="1"/>
  <c r="D7" i="1"/>
  <c r="C7" i="1"/>
  <c r="B7" i="1"/>
  <c r="I6" i="1"/>
  <c r="H6" i="1"/>
  <c r="G6" i="1"/>
  <c r="F6" i="1"/>
  <c r="E6" i="1"/>
  <c r="D6" i="1"/>
  <c r="C6" i="1"/>
  <c r="B6" i="1"/>
  <c r="I5" i="1"/>
  <c r="H5" i="1"/>
  <c r="G5" i="1"/>
  <c r="F5" i="1"/>
  <c r="E5" i="1"/>
  <c r="D5" i="1"/>
  <c r="C5" i="1"/>
  <c r="B5" i="1"/>
  <c r="I4" i="1"/>
  <c r="H4" i="1"/>
  <c r="G4" i="1"/>
  <c r="F4" i="1"/>
  <c r="E4" i="1"/>
  <c r="D4" i="1"/>
  <c r="C4" i="1"/>
  <c r="B4" i="1"/>
  <c r="I3" i="1"/>
  <c r="H3" i="1"/>
  <c r="G3" i="1"/>
  <c r="F3" i="1"/>
  <c r="E3" i="1"/>
  <c r="D3" i="1"/>
  <c r="C3" i="1"/>
  <c r="B3" i="1"/>
  <c r="G66" i="1" l="1"/>
  <c r="C66" i="1"/>
  <c r="I65" i="1"/>
  <c r="E65" i="1"/>
  <c r="I64" i="1"/>
  <c r="C64" i="1"/>
  <c r="I63" i="1"/>
  <c r="F63" i="1"/>
  <c r="I62" i="1"/>
  <c r="C62" i="1"/>
  <c r="G61" i="1"/>
  <c r="E61" i="1"/>
  <c r="I60" i="1"/>
  <c r="E60" i="1"/>
  <c r="I32" i="1"/>
  <c r="C32" i="1"/>
  <c r="I66" i="1"/>
  <c r="E66" i="1"/>
  <c r="G65" i="1"/>
  <c r="C65" i="1"/>
  <c r="G64" i="1"/>
  <c r="E64" i="1"/>
  <c r="G63" i="1"/>
  <c r="E63" i="1"/>
  <c r="C63" i="1"/>
  <c r="G62" i="1"/>
  <c r="E62" i="1"/>
  <c r="I61" i="1"/>
  <c r="C61" i="1"/>
  <c r="G60" i="1"/>
  <c r="C60" i="1"/>
  <c r="E32" i="1"/>
  <c r="G32" i="1"/>
  <c r="C29" i="1"/>
  <c r="I28" i="1"/>
  <c r="G28" i="1"/>
  <c r="E28" i="1"/>
  <c r="C28" i="1"/>
  <c r="I27" i="1"/>
  <c r="G27" i="1"/>
  <c r="E27" i="1"/>
  <c r="C27" i="1"/>
  <c r="I26" i="1"/>
  <c r="G26" i="1"/>
  <c r="E26" i="1"/>
  <c r="C26" i="1"/>
  <c r="B93" i="1"/>
  <c r="C93" i="1"/>
  <c r="D93" i="1"/>
  <c r="E93" i="1"/>
  <c r="F93" i="1"/>
  <c r="G93" i="1"/>
  <c r="H93" i="1"/>
  <c r="I93" i="1"/>
  <c r="B94" i="1"/>
  <c r="C94" i="1"/>
  <c r="D94" i="1"/>
  <c r="E94" i="1"/>
  <c r="F94" i="1"/>
  <c r="G94" i="1"/>
  <c r="H94" i="1"/>
  <c r="I94" i="1"/>
  <c r="B95" i="1"/>
  <c r="C95" i="1"/>
  <c r="D95" i="1"/>
  <c r="E95" i="1"/>
  <c r="F95" i="1"/>
  <c r="G95" i="1"/>
  <c r="H95" i="1"/>
  <c r="I95" i="1"/>
  <c r="B96" i="1"/>
  <c r="C96" i="1"/>
  <c r="D96" i="1"/>
  <c r="E96" i="1"/>
  <c r="F96" i="1"/>
  <c r="G96" i="1"/>
  <c r="H96" i="1"/>
  <c r="I96" i="1"/>
  <c r="B97" i="1"/>
  <c r="C97" i="1"/>
  <c r="D97" i="1"/>
  <c r="E97" i="1"/>
  <c r="F97" i="1"/>
  <c r="G97" i="1"/>
  <c r="H97" i="1"/>
  <c r="I97" i="1"/>
  <c r="B98" i="1"/>
  <c r="C98" i="1"/>
  <c r="D98" i="1"/>
  <c r="E98" i="1"/>
  <c r="F66" i="1"/>
  <c r="D66" i="1"/>
  <c r="H65" i="1"/>
  <c r="F65" i="1"/>
  <c r="B65" i="1"/>
  <c r="H64" i="1"/>
  <c r="F64" i="1"/>
  <c r="B64" i="1"/>
  <c r="H63" i="1"/>
  <c r="D63" i="1"/>
  <c r="B63" i="1"/>
  <c r="H62" i="1"/>
  <c r="F62" i="1"/>
  <c r="D62" i="1"/>
  <c r="B62" i="1"/>
  <c r="H61" i="1"/>
  <c r="D61" i="1"/>
  <c r="B61" i="1"/>
  <c r="H60" i="1"/>
  <c r="F60" i="1"/>
  <c r="I59" i="1"/>
  <c r="G59" i="1"/>
  <c r="F59" i="1"/>
  <c r="D59" i="1"/>
  <c r="B59" i="1"/>
  <c r="H32" i="1"/>
  <c r="F32" i="1"/>
  <c r="D32" i="1"/>
  <c r="B32" i="1"/>
  <c r="H31" i="1"/>
  <c r="F31" i="1"/>
  <c r="D31" i="1"/>
  <c r="F25" i="1"/>
  <c r="D25" i="1"/>
  <c r="B25" i="1"/>
  <c r="F98" i="1"/>
  <c r="G98" i="1"/>
  <c r="H98" i="1"/>
  <c r="I98" i="1"/>
  <c r="B99" i="1"/>
  <c r="C99" i="1"/>
  <c r="D99" i="1"/>
  <c r="E99" i="1"/>
  <c r="F99" i="1"/>
  <c r="G99" i="1"/>
  <c r="H99" i="1"/>
  <c r="I99" i="1"/>
  <c r="C92" i="1"/>
  <c r="D92" i="1"/>
  <c r="E92" i="1"/>
  <c r="F92" i="1"/>
  <c r="G92" i="1"/>
  <c r="H92" i="1"/>
  <c r="I92" i="1"/>
  <c r="B92" i="1"/>
  <c r="H66" i="1"/>
  <c r="B66" i="1"/>
  <c r="D65" i="1"/>
  <c r="D64" i="1"/>
  <c r="F61" i="1"/>
  <c r="D60" i="1"/>
  <c r="B60" i="1"/>
  <c r="H59" i="1"/>
  <c r="E59" i="1"/>
  <c r="C59" i="1"/>
  <c r="B31" i="1"/>
  <c r="H30" i="1"/>
  <c r="F30" i="1"/>
  <c r="D30" i="1"/>
  <c r="B30" i="1"/>
  <c r="H29" i="1"/>
  <c r="F29" i="1"/>
  <c r="D29" i="1"/>
  <c r="B29" i="1"/>
  <c r="H28" i="1"/>
  <c r="F28" i="1"/>
  <c r="D28" i="1"/>
  <c r="B28" i="1"/>
  <c r="H27" i="1"/>
  <c r="F27" i="1"/>
  <c r="D27" i="1"/>
  <c r="B27" i="1"/>
  <c r="H26" i="1"/>
  <c r="F26" i="1"/>
  <c r="D26" i="1"/>
  <c r="B26" i="1"/>
  <c r="I25" i="1"/>
  <c r="H25" i="1"/>
  <c r="G25" i="1"/>
  <c r="E25" i="1"/>
  <c r="C25" i="1"/>
</calcChain>
</file>

<file path=xl/sharedStrings.xml><?xml version="1.0" encoding="utf-8"?>
<sst xmlns="http://schemas.openxmlformats.org/spreadsheetml/2006/main" count="18" uniqueCount="11">
  <si>
    <t>частота\канал</t>
  </si>
  <si>
    <t>частота/канал</t>
  </si>
  <si>
    <t>Установленное значение при коэффициенте усиления BOE "-1", BOC "0"</t>
  </si>
  <si>
    <t>Измеренное значение при коэффициенте усиления BOE "-1", BOC "0"</t>
  </si>
  <si>
    <t>Погрешность при коеффициенте усления BOE "-1", BOC "0"</t>
  </si>
  <si>
    <t>Установленное значение при коэффициенте усиления BOE "-1", BOC "3"</t>
  </si>
  <si>
    <t>Измеренное значение при коэффициенте усиления BOE "-1", BOC "3"</t>
  </si>
  <si>
    <t>Погрешность при коеффициенте усления BOE "-1", BOC "3"</t>
  </si>
  <si>
    <t>Установленное значение при коэффициенте усиления BOE "0", BOC "0"</t>
  </si>
  <si>
    <t>Измеренное значение при коэффициенте усиления BOE "0", BOC "0"</t>
  </si>
  <si>
    <t>Погрешность при коеффициенте усления BOE "0", BOC "0"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</si>
</sst>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charset val="204"/>
    </font>
    <font>
      <sz val="10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1" fontId="1" fillId="0" borderId="1" xfId="0" applyNumberFormat="1" applyFont="1" applyBorder="1"/>
    <xf numFmtId="0" fontId="0" fillId="0" borderId="0" xfId="0"/>
    <xf numFmtId="0" fontId="0" fillId="0" borderId="0" xfId="0" applyAlignment="1">
      <alignment horizontal="center"/>
    </xf>
    <xf numFmtId="11" fontId="2" fillId="0" borderId="1" xfId="0" applyNumberFormat="1" applyFont="1" applyBorder="1"/>
  </cellXfs>
  <cellStyles count="1">
    <cellStyle name="Обычный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9"/>
  <sheetViews>
    <sheetView tabSelected="1" topLeftCell="E76" workbookViewId="0">
      <selection activeCell="K13" sqref="K13"/>
    </sheetView>
  </sheetViews>
  <sheetFormatPr defaultRowHeight="15" x14ac:dyDescent="0.25"/>
  <cols>
    <col min="13" max="20" width="13.5703125" customWidth="1"/>
  </cols>
  <sheetData>
    <row r="1" spans="1:20" x14ac:dyDescent="0.25">
      <c r="A1" s="4" t="s">
        <v>2</v>
      </c>
      <c r="B1" s="4"/>
      <c r="C1" s="4"/>
      <c r="D1" s="4"/>
      <c r="E1" s="4"/>
      <c r="F1" s="4"/>
      <c r="G1" s="4"/>
      <c r="H1" s="4"/>
      <c r="I1" s="4"/>
      <c r="M1" s="3">
        <v>1.5463451E-2</v>
      </c>
      <c r="N1" s="3">
        <v>1.5190327E-2</v>
      </c>
      <c r="O1" s="3">
        <v>1.5175681999999999E-2</v>
      </c>
      <c r="P1" s="3">
        <v>1.5258344E-2</v>
      </c>
      <c r="Q1" s="3">
        <v>1.5222704E-2</v>
      </c>
      <c r="R1" s="3">
        <v>1.5261749E-2</v>
      </c>
      <c r="S1" s="3">
        <v>1.5157653E-2</v>
      </c>
      <c r="T1" s="3">
        <v>1.5212643E-2</v>
      </c>
    </row>
    <row r="2" spans="1:20" x14ac:dyDescent="0.25">
      <c r="A2" t="s">
        <v>0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M2" s="3">
        <v>1.539593E-2</v>
      </c>
      <c r="N2" s="3">
        <v>1.5074811E-2</v>
      </c>
      <c r="O2" s="3">
        <v>1.5097622999999999E-2</v>
      </c>
      <c r="P2" s="3">
        <v>1.5198011000000001E-2</v>
      </c>
      <c r="Q2" s="3">
        <v>1.5099638E-2</v>
      </c>
      <c r="R2" s="3">
        <v>1.5205282000000001E-2</v>
      </c>
      <c r="S2" s="3">
        <v>1.5051475E-2</v>
      </c>
      <c r="T2" s="3">
        <v>1.5099606E-2</v>
      </c>
    </row>
    <row r="3" spans="1:20" x14ac:dyDescent="0.25">
      <c r="A3">
        <v>50</v>
      </c>
      <c r="B3" s="1">
        <f>M1</f>
        <v>1.5463451E-2</v>
      </c>
      <c r="C3" s="1">
        <f t="shared" ref="C3:I10" si="0">N1</f>
        <v>1.5190327E-2</v>
      </c>
      <c r="D3" s="1">
        <f t="shared" si="0"/>
        <v>1.5175681999999999E-2</v>
      </c>
      <c r="E3" s="1">
        <f t="shared" si="0"/>
        <v>1.5258344E-2</v>
      </c>
      <c r="F3" s="1">
        <f t="shared" si="0"/>
        <v>1.5222704E-2</v>
      </c>
      <c r="G3" s="1">
        <f t="shared" si="0"/>
        <v>1.5261749E-2</v>
      </c>
      <c r="H3" s="1">
        <f t="shared" si="0"/>
        <v>1.5157653E-2</v>
      </c>
      <c r="I3" s="1">
        <f t="shared" si="0"/>
        <v>1.5212643E-2</v>
      </c>
      <c r="M3" s="3">
        <v>1.5393377E-2</v>
      </c>
      <c r="N3" s="3">
        <v>1.5104261000000001E-2</v>
      </c>
      <c r="O3" s="3">
        <v>1.5129914E-2</v>
      </c>
      <c r="P3" s="3">
        <v>1.5230858E-2</v>
      </c>
      <c r="Q3" s="3">
        <v>1.5121265E-2</v>
      </c>
      <c r="R3" s="3">
        <v>1.5229763E-2</v>
      </c>
      <c r="S3" s="3">
        <v>1.5097911E-2</v>
      </c>
      <c r="T3" s="3">
        <v>1.5132652999999999E-2</v>
      </c>
    </row>
    <row r="4" spans="1:20" x14ac:dyDescent="0.25">
      <c r="A4">
        <v>60</v>
      </c>
      <c r="B4" s="1">
        <f t="shared" ref="B4:B10" si="1">M2</f>
        <v>1.539593E-2</v>
      </c>
      <c r="C4" s="1">
        <f t="shared" si="0"/>
        <v>1.5074811E-2</v>
      </c>
      <c r="D4" s="1">
        <f t="shared" si="0"/>
        <v>1.5097622999999999E-2</v>
      </c>
      <c r="E4" s="1">
        <f t="shared" si="0"/>
        <v>1.5198011000000001E-2</v>
      </c>
      <c r="F4" s="1">
        <f t="shared" si="0"/>
        <v>1.5099638E-2</v>
      </c>
      <c r="G4" s="1">
        <f t="shared" si="0"/>
        <v>1.5205282000000001E-2</v>
      </c>
      <c r="H4" s="1">
        <f t="shared" si="0"/>
        <v>1.5051475E-2</v>
      </c>
      <c r="I4" s="1">
        <f t="shared" si="0"/>
        <v>1.5099606E-2</v>
      </c>
      <c r="M4" s="3">
        <v>1.543451E-2</v>
      </c>
      <c r="N4" s="3">
        <v>1.5267509E-2</v>
      </c>
      <c r="O4" s="3">
        <v>1.5277885E-2</v>
      </c>
      <c r="P4" s="3">
        <v>1.5348919000000001E-2</v>
      </c>
      <c r="Q4" s="3">
        <v>1.5270183999999999E-2</v>
      </c>
      <c r="R4" s="3">
        <v>1.5333728E-2</v>
      </c>
      <c r="S4" s="3">
        <v>1.5276692999999999E-2</v>
      </c>
      <c r="T4" s="3">
        <v>1.5297659E-2</v>
      </c>
    </row>
    <row r="5" spans="1:20" x14ac:dyDescent="0.25">
      <c r="A5">
        <v>70</v>
      </c>
      <c r="B5" s="1">
        <f t="shared" si="1"/>
        <v>1.5393377E-2</v>
      </c>
      <c r="C5" s="1">
        <f t="shared" si="0"/>
        <v>1.5104261000000001E-2</v>
      </c>
      <c r="D5" s="1">
        <f t="shared" si="0"/>
        <v>1.5129914E-2</v>
      </c>
      <c r="E5" s="1">
        <f t="shared" si="0"/>
        <v>1.5230858E-2</v>
      </c>
      <c r="F5" s="1">
        <f t="shared" si="0"/>
        <v>1.5121265E-2</v>
      </c>
      <c r="G5" s="1">
        <f t="shared" si="0"/>
        <v>1.5229763E-2</v>
      </c>
      <c r="H5" s="1">
        <f t="shared" si="0"/>
        <v>1.5097911E-2</v>
      </c>
      <c r="I5" s="1">
        <f t="shared" si="0"/>
        <v>1.5132652999999999E-2</v>
      </c>
      <c r="M5" s="3">
        <v>1.5445716999999999E-2</v>
      </c>
      <c r="N5" s="3">
        <v>1.5353E-2</v>
      </c>
      <c r="O5" s="3">
        <v>1.5349242000000001E-2</v>
      </c>
      <c r="P5" s="3">
        <v>1.5394351000000001E-2</v>
      </c>
      <c r="Q5" s="3">
        <v>1.5349619E-2</v>
      </c>
      <c r="R5" s="3">
        <v>1.5384365000000001E-2</v>
      </c>
      <c r="S5" s="3">
        <v>1.5362894E-2</v>
      </c>
      <c r="T5" s="3">
        <v>1.5374937999999999E-2</v>
      </c>
    </row>
    <row r="6" spans="1:20" x14ac:dyDescent="0.25">
      <c r="A6">
        <v>100</v>
      </c>
      <c r="B6" s="1">
        <f t="shared" si="1"/>
        <v>1.543451E-2</v>
      </c>
      <c r="C6" s="1">
        <f t="shared" si="0"/>
        <v>1.5267509E-2</v>
      </c>
      <c r="D6" s="1">
        <f t="shared" si="0"/>
        <v>1.5277885E-2</v>
      </c>
      <c r="E6" s="1">
        <f t="shared" si="0"/>
        <v>1.5348919000000001E-2</v>
      </c>
      <c r="F6" s="1">
        <f t="shared" si="0"/>
        <v>1.5270183999999999E-2</v>
      </c>
      <c r="G6" s="1">
        <f t="shared" si="0"/>
        <v>1.5333728E-2</v>
      </c>
      <c r="H6" s="1">
        <f t="shared" si="0"/>
        <v>1.5276692999999999E-2</v>
      </c>
      <c r="I6" s="1">
        <f t="shared" si="0"/>
        <v>1.5297659E-2</v>
      </c>
      <c r="M6" s="3">
        <v>1.5453516E-2</v>
      </c>
      <c r="N6" s="3">
        <v>1.5384033E-2</v>
      </c>
      <c r="O6" s="3">
        <v>1.5383015999999999E-2</v>
      </c>
      <c r="P6" s="3">
        <v>1.5414821E-2</v>
      </c>
      <c r="Q6" s="3">
        <v>1.5384274999999999E-2</v>
      </c>
      <c r="R6" s="3">
        <v>1.5409056000000001E-2</v>
      </c>
      <c r="S6" s="3">
        <v>1.5402664E-2</v>
      </c>
      <c r="T6" s="3">
        <v>1.5412227000000001E-2</v>
      </c>
    </row>
    <row r="7" spans="1:20" x14ac:dyDescent="0.25">
      <c r="A7">
        <v>140</v>
      </c>
      <c r="B7" s="1">
        <f t="shared" si="1"/>
        <v>1.5445716999999999E-2</v>
      </c>
      <c r="C7" s="1">
        <f t="shared" si="0"/>
        <v>1.5353E-2</v>
      </c>
      <c r="D7" s="1">
        <f t="shared" si="0"/>
        <v>1.5349242000000001E-2</v>
      </c>
      <c r="E7" s="1">
        <f t="shared" si="0"/>
        <v>1.5394351000000001E-2</v>
      </c>
      <c r="F7" s="1">
        <f t="shared" si="0"/>
        <v>1.5349619E-2</v>
      </c>
      <c r="G7" s="1">
        <f t="shared" si="0"/>
        <v>1.5384365000000001E-2</v>
      </c>
      <c r="H7" s="1">
        <f t="shared" si="0"/>
        <v>1.5362894E-2</v>
      </c>
      <c r="I7" s="1">
        <f t="shared" si="0"/>
        <v>1.5374937999999999E-2</v>
      </c>
      <c r="M7" s="3">
        <v>1.5458253E-2</v>
      </c>
      <c r="N7" s="3">
        <v>1.5402229E-2</v>
      </c>
      <c r="O7" s="3">
        <v>1.5401457E-2</v>
      </c>
      <c r="P7" s="3">
        <v>1.5421743999999999E-2</v>
      </c>
      <c r="Q7" s="3">
        <v>1.5399829E-2</v>
      </c>
      <c r="R7" s="3">
        <v>1.5420698E-2</v>
      </c>
      <c r="S7" s="3">
        <v>1.5415862000000001E-2</v>
      </c>
      <c r="T7" s="3">
        <v>1.542376E-2</v>
      </c>
    </row>
    <row r="8" spans="1:20" x14ac:dyDescent="0.25">
      <c r="A8">
        <v>180</v>
      </c>
      <c r="B8" s="1">
        <f t="shared" si="1"/>
        <v>1.5453516E-2</v>
      </c>
      <c r="C8" s="1">
        <f t="shared" si="0"/>
        <v>1.5384033E-2</v>
      </c>
      <c r="D8" s="1">
        <f t="shared" si="0"/>
        <v>1.5383015999999999E-2</v>
      </c>
      <c r="E8" s="1">
        <f t="shared" si="0"/>
        <v>1.5414821E-2</v>
      </c>
      <c r="F8" s="1">
        <f t="shared" si="0"/>
        <v>1.5384274999999999E-2</v>
      </c>
      <c r="G8" s="1">
        <f t="shared" si="0"/>
        <v>1.5409056000000001E-2</v>
      </c>
      <c r="H8" s="1">
        <f t="shared" si="0"/>
        <v>1.5402664E-2</v>
      </c>
      <c r="I8" s="1">
        <f t="shared" si="0"/>
        <v>1.5412227000000001E-2</v>
      </c>
      <c r="M8" s="3">
        <v>1.5469834999999999E-2</v>
      </c>
      <c r="N8" s="3">
        <v>1.5423177999999999E-2</v>
      </c>
      <c r="O8" s="3">
        <v>1.5425324000000001E-2</v>
      </c>
      <c r="P8" s="3">
        <v>1.5443406E-2</v>
      </c>
      <c r="Q8" s="3">
        <v>1.5424228999999999E-2</v>
      </c>
      <c r="R8" s="3">
        <v>1.544208E-2</v>
      </c>
      <c r="S8" s="3">
        <v>1.5441109999999999E-2</v>
      </c>
      <c r="T8" s="3">
        <v>1.5449595999999999E-2</v>
      </c>
    </row>
    <row r="9" spans="1:20" x14ac:dyDescent="0.25">
      <c r="A9">
        <v>210</v>
      </c>
      <c r="B9" s="1">
        <f t="shared" si="1"/>
        <v>1.5458253E-2</v>
      </c>
      <c r="C9" s="1">
        <f t="shared" si="0"/>
        <v>1.5402229E-2</v>
      </c>
      <c r="D9" s="1">
        <f t="shared" si="0"/>
        <v>1.5401457E-2</v>
      </c>
      <c r="E9" s="1">
        <f t="shared" si="0"/>
        <v>1.5421743999999999E-2</v>
      </c>
      <c r="F9" s="1">
        <f t="shared" si="0"/>
        <v>1.5399829E-2</v>
      </c>
      <c r="G9" s="1">
        <f t="shared" si="0"/>
        <v>1.5420698E-2</v>
      </c>
      <c r="H9" s="1">
        <f t="shared" si="0"/>
        <v>1.5415862000000001E-2</v>
      </c>
      <c r="I9" s="1">
        <f t="shared" si="0"/>
        <v>1.542376E-2</v>
      </c>
      <c r="M9" s="3">
        <v>9.5857879999999996E-3</v>
      </c>
      <c r="N9" s="3">
        <v>9.5079710000000005E-3</v>
      </c>
      <c r="O9" s="3">
        <v>9.4704880000000009E-3</v>
      </c>
      <c r="P9" s="3">
        <v>9.6113629999999995E-3</v>
      </c>
      <c r="Q9" s="3">
        <v>9.4009109999999996E-3</v>
      </c>
      <c r="R9" s="3">
        <v>9.5508899999999994E-3</v>
      </c>
      <c r="S9" s="3">
        <v>9.5773260000000006E-3</v>
      </c>
      <c r="T9" s="3">
        <v>9.4803200000000004E-3</v>
      </c>
    </row>
    <row r="10" spans="1:20" x14ac:dyDescent="0.25">
      <c r="A10">
        <v>250</v>
      </c>
      <c r="B10" s="1">
        <f t="shared" si="1"/>
        <v>1.5469834999999999E-2</v>
      </c>
      <c r="C10" s="1">
        <f t="shared" si="0"/>
        <v>1.5423177999999999E-2</v>
      </c>
      <c r="D10" s="1">
        <f t="shared" si="0"/>
        <v>1.5425324000000001E-2</v>
      </c>
      <c r="E10" s="1">
        <f t="shared" si="0"/>
        <v>1.5443406E-2</v>
      </c>
      <c r="F10" s="1">
        <f t="shared" si="0"/>
        <v>1.5424228999999999E-2</v>
      </c>
      <c r="G10" s="1">
        <f t="shared" si="0"/>
        <v>1.544208E-2</v>
      </c>
      <c r="H10" s="1">
        <f t="shared" si="0"/>
        <v>1.5441109999999999E-2</v>
      </c>
      <c r="I10" s="1">
        <f t="shared" si="0"/>
        <v>1.5449595999999999E-2</v>
      </c>
      <c r="M10" s="3">
        <v>1.3243167E-2</v>
      </c>
      <c r="N10" s="3">
        <v>1.3283092E-2</v>
      </c>
      <c r="O10" s="3">
        <v>1.3171778E-2</v>
      </c>
      <c r="P10" s="3">
        <v>1.3254002000000001E-2</v>
      </c>
      <c r="Q10" s="3">
        <v>1.3168598E-2</v>
      </c>
      <c r="R10" s="3">
        <v>1.3172807999999999E-2</v>
      </c>
      <c r="S10" s="3">
        <v>1.3273307999999999E-2</v>
      </c>
      <c r="T10" s="3">
        <v>1.3218651E-2</v>
      </c>
    </row>
    <row r="11" spans="1:20" x14ac:dyDescent="0.25">
      <c r="M11" s="3">
        <v>1.4398592999999999E-2</v>
      </c>
      <c r="N11" s="3">
        <v>1.4412874000000001E-2</v>
      </c>
      <c r="O11" s="3">
        <v>1.4301707E-2</v>
      </c>
      <c r="P11" s="3">
        <v>1.4372822E-2</v>
      </c>
      <c r="Q11" s="3">
        <v>1.4317292000000001E-2</v>
      </c>
      <c r="R11" s="3">
        <v>1.4291422E-2</v>
      </c>
      <c r="S11" s="3">
        <v>1.4440583E-2</v>
      </c>
      <c r="T11" s="3">
        <v>1.4366152E-2</v>
      </c>
    </row>
    <row r="12" spans="1:20" x14ac:dyDescent="0.25">
      <c r="A12" s="4" t="s">
        <v>3</v>
      </c>
      <c r="B12" s="4"/>
      <c r="C12" s="4"/>
      <c r="D12" s="4"/>
      <c r="E12" s="4"/>
      <c r="F12" s="4"/>
      <c r="G12" s="4"/>
      <c r="H12" s="4"/>
      <c r="I12" s="4"/>
      <c r="M12" s="3">
        <v>1.4702112999999999E-2</v>
      </c>
      <c r="N12" s="3">
        <v>1.4584512000000001E-2</v>
      </c>
      <c r="O12" s="3">
        <v>1.4508119E-2</v>
      </c>
      <c r="P12" s="3">
        <v>1.4570873999999999E-2</v>
      </c>
      <c r="Q12" s="3">
        <v>1.4505763E-2</v>
      </c>
      <c r="R12" s="3">
        <v>1.4571235E-2</v>
      </c>
      <c r="S12" s="3">
        <v>1.4568578E-2</v>
      </c>
      <c r="T12" s="3">
        <v>1.4606920000000001E-2</v>
      </c>
    </row>
    <row r="13" spans="1:20" x14ac:dyDescent="0.25">
      <c r="A13" t="s">
        <v>0</v>
      </c>
      <c r="B13">
        <v>1</v>
      </c>
      <c r="C13">
        <v>2</v>
      </c>
      <c r="D13">
        <v>3</v>
      </c>
      <c r="E13">
        <v>4</v>
      </c>
      <c r="F13">
        <v>5</v>
      </c>
      <c r="G13">
        <v>6</v>
      </c>
      <c r="H13">
        <v>7</v>
      </c>
      <c r="I13">
        <v>8</v>
      </c>
      <c r="M13" s="3">
        <v>1.4575025E-2</v>
      </c>
      <c r="N13" s="3">
        <v>1.4372538000000001E-2</v>
      </c>
      <c r="O13" s="3">
        <v>1.4340105000000001E-2</v>
      </c>
      <c r="P13" s="3">
        <v>1.4466662999999999E-2</v>
      </c>
      <c r="Q13" s="3">
        <v>1.4373998000000001E-2</v>
      </c>
      <c r="R13" s="3">
        <v>1.4446616000000001E-2</v>
      </c>
      <c r="S13" s="3">
        <v>1.4405522E-2</v>
      </c>
      <c r="T13" s="3">
        <v>1.4441905999999999E-2</v>
      </c>
    </row>
    <row r="14" spans="1:20" x14ac:dyDescent="0.25">
      <c r="A14">
        <v>50</v>
      </c>
      <c r="B14" s="1">
        <f>M9</f>
        <v>9.5857879999999996E-3</v>
      </c>
      <c r="C14" s="1">
        <f t="shared" ref="C14:I21" si="2">N9</f>
        <v>9.5079710000000005E-3</v>
      </c>
      <c r="D14" s="1">
        <f t="shared" si="2"/>
        <v>9.4704880000000009E-3</v>
      </c>
      <c r="E14" s="1">
        <f t="shared" si="2"/>
        <v>9.6113629999999995E-3</v>
      </c>
      <c r="F14" s="1">
        <f t="shared" si="2"/>
        <v>9.4009109999999996E-3</v>
      </c>
      <c r="G14" s="1">
        <f t="shared" si="2"/>
        <v>9.5508899999999994E-3</v>
      </c>
      <c r="H14" s="1">
        <f t="shared" si="2"/>
        <v>9.5773260000000006E-3</v>
      </c>
      <c r="I14" s="1">
        <f t="shared" si="2"/>
        <v>9.4803200000000004E-3</v>
      </c>
      <c r="M14" s="3">
        <v>1.4516436000000001E-2</v>
      </c>
      <c r="N14" s="3">
        <v>1.4223157E-2</v>
      </c>
      <c r="O14" s="3">
        <v>1.4168887999999999E-2</v>
      </c>
      <c r="P14" s="3">
        <v>1.4440203E-2</v>
      </c>
      <c r="Q14" s="3">
        <v>1.4163705E-2</v>
      </c>
      <c r="R14" s="3">
        <v>1.4325831000000001E-2</v>
      </c>
      <c r="S14" s="3">
        <v>1.4271053000000001E-2</v>
      </c>
      <c r="T14" s="3">
        <v>1.438797E-2</v>
      </c>
    </row>
    <row r="15" spans="1:20" x14ac:dyDescent="0.25">
      <c r="A15">
        <v>60</v>
      </c>
      <c r="B15" s="1">
        <f t="shared" ref="B15:B21" si="3">M10</f>
        <v>1.3243167E-2</v>
      </c>
      <c r="C15" s="1">
        <f t="shared" si="2"/>
        <v>1.3283092E-2</v>
      </c>
      <c r="D15" s="1">
        <f t="shared" si="2"/>
        <v>1.3171778E-2</v>
      </c>
      <c r="E15" s="1">
        <f t="shared" si="2"/>
        <v>1.3254002000000001E-2</v>
      </c>
      <c r="F15" s="1">
        <f t="shared" si="2"/>
        <v>1.3168598E-2</v>
      </c>
      <c r="G15" s="1">
        <f t="shared" si="2"/>
        <v>1.3172807999999999E-2</v>
      </c>
      <c r="H15" s="1">
        <f t="shared" si="2"/>
        <v>1.3273307999999999E-2</v>
      </c>
      <c r="I15" s="1">
        <f t="shared" si="2"/>
        <v>1.3218651E-2</v>
      </c>
      <c r="M15" s="3">
        <v>1.3876304000000001E-2</v>
      </c>
      <c r="N15" s="3">
        <v>1.3623939999999999E-2</v>
      </c>
      <c r="O15" s="3">
        <v>1.3633045E-2</v>
      </c>
      <c r="P15" s="3">
        <v>1.3937110000000001E-2</v>
      </c>
      <c r="Q15" s="3">
        <v>1.3616359E-2</v>
      </c>
      <c r="R15" s="3">
        <v>1.3776525E-2</v>
      </c>
      <c r="S15" s="3">
        <v>1.3746171E-2</v>
      </c>
      <c r="T15" s="3">
        <v>1.3879752E-2</v>
      </c>
    </row>
    <row r="16" spans="1:20" x14ac:dyDescent="0.25">
      <c r="A16">
        <v>70</v>
      </c>
      <c r="B16" s="1">
        <f t="shared" si="3"/>
        <v>1.4398592999999999E-2</v>
      </c>
      <c r="C16" s="1">
        <f t="shared" si="2"/>
        <v>1.4412874000000001E-2</v>
      </c>
      <c r="D16" s="1">
        <f t="shared" si="2"/>
        <v>1.4301707E-2</v>
      </c>
      <c r="E16" s="1">
        <f t="shared" si="2"/>
        <v>1.4372822E-2</v>
      </c>
      <c r="F16" s="1">
        <f t="shared" si="2"/>
        <v>1.4317292000000001E-2</v>
      </c>
      <c r="G16" s="1">
        <f t="shared" si="2"/>
        <v>1.4291422E-2</v>
      </c>
      <c r="H16" s="1">
        <f t="shared" si="2"/>
        <v>1.4440583E-2</v>
      </c>
      <c r="I16" s="1">
        <f t="shared" si="2"/>
        <v>1.4366152E-2</v>
      </c>
      <c r="M16" s="3">
        <v>1.136701E-2</v>
      </c>
      <c r="N16" s="3">
        <v>1.1102363000000001E-2</v>
      </c>
      <c r="O16" s="3">
        <v>1.1227157E-2</v>
      </c>
      <c r="P16" s="3">
        <v>1.1634211E-2</v>
      </c>
      <c r="Q16" s="3">
        <v>1.1162033999999999E-2</v>
      </c>
      <c r="R16" s="3">
        <v>1.1302520999999999E-2</v>
      </c>
      <c r="S16" s="3">
        <v>1.1383008999999999E-2</v>
      </c>
      <c r="T16" s="3">
        <v>1.1516579000000001E-2</v>
      </c>
    </row>
    <row r="17" spans="1:20" x14ac:dyDescent="0.25">
      <c r="A17">
        <v>100</v>
      </c>
      <c r="B17" s="1">
        <f t="shared" si="3"/>
        <v>1.4702112999999999E-2</v>
      </c>
      <c r="C17" s="1">
        <f t="shared" si="2"/>
        <v>1.4584512000000001E-2</v>
      </c>
      <c r="D17" s="1">
        <f t="shared" si="2"/>
        <v>1.4508119E-2</v>
      </c>
      <c r="E17" s="1">
        <f t="shared" si="2"/>
        <v>1.4570873999999999E-2</v>
      </c>
      <c r="F17" s="1">
        <f t="shared" si="2"/>
        <v>1.4505763E-2</v>
      </c>
      <c r="G17" s="1">
        <f t="shared" si="2"/>
        <v>1.4571235E-2</v>
      </c>
      <c r="H17" s="1">
        <f t="shared" si="2"/>
        <v>1.4568578E-2</v>
      </c>
      <c r="I17" s="1">
        <f t="shared" si="2"/>
        <v>1.4606920000000001E-2</v>
      </c>
      <c r="M17" s="3">
        <v>1.5460606999999999E-2</v>
      </c>
      <c r="N17" s="3">
        <v>1.5185120999999999E-2</v>
      </c>
      <c r="O17" s="3">
        <v>1.51734E-2</v>
      </c>
      <c r="P17" s="3">
        <v>1.5256438000000001E-2</v>
      </c>
      <c r="Q17" s="3">
        <v>1.5223633E-2</v>
      </c>
      <c r="R17" s="3">
        <v>1.5263499E-2</v>
      </c>
      <c r="S17" s="3">
        <v>1.5157435E-2</v>
      </c>
      <c r="T17" s="3">
        <v>1.5210446000000001E-2</v>
      </c>
    </row>
    <row r="18" spans="1:20" x14ac:dyDescent="0.25">
      <c r="A18">
        <v>140</v>
      </c>
      <c r="B18" s="1">
        <f t="shared" si="3"/>
        <v>1.4575025E-2</v>
      </c>
      <c r="C18" s="1">
        <f t="shared" si="2"/>
        <v>1.4372538000000001E-2</v>
      </c>
      <c r="D18" s="1">
        <f t="shared" si="2"/>
        <v>1.4340105000000001E-2</v>
      </c>
      <c r="E18" s="1">
        <f t="shared" si="2"/>
        <v>1.4466662999999999E-2</v>
      </c>
      <c r="F18" s="1">
        <f t="shared" si="2"/>
        <v>1.4373998000000001E-2</v>
      </c>
      <c r="G18" s="1">
        <f t="shared" si="2"/>
        <v>1.4446616000000001E-2</v>
      </c>
      <c r="H18" s="1">
        <f t="shared" si="2"/>
        <v>1.4405522E-2</v>
      </c>
      <c r="I18" s="1">
        <f t="shared" si="2"/>
        <v>1.4441905999999999E-2</v>
      </c>
      <c r="M18" s="3">
        <v>1.5388021E-2</v>
      </c>
      <c r="N18" s="3">
        <v>1.5064731E-2</v>
      </c>
      <c r="O18" s="3">
        <v>1.5090933000000001E-2</v>
      </c>
      <c r="P18" s="3">
        <v>1.5193577999999999E-2</v>
      </c>
      <c r="Q18" s="3">
        <v>1.5099306E-2</v>
      </c>
      <c r="R18" s="3">
        <v>1.5197777000000001E-2</v>
      </c>
      <c r="S18" s="3">
        <v>1.5053834E-2</v>
      </c>
      <c r="T18" s="3">
        <v>1.5098501E-2</v>
      </c>
    </row>
    <row r="19" spans="1:20" x14ac:dyDescent="0.25">
      <c r="A19">
        <v>180</v>
      </c>
      <c r="B19" s="1">
        <f t="shared" si="3"/>
        <v>1.4516436000000001E-2</v>
      </c>
      <c r="C19" s="1">
        <f t="shared" si="2"/>
        <v>1.4223157E-2</v>
      </c>
      <c r="D19" s="1">
        <f t="shared" si="2"/>
        <v>1.4168887999999999E-2</v>
      </c>
      <c r="E19" s="1">
        <f t="shared" si="2"/>
        <v>1.4440203E-2</v>
      </c>
      <c r="F19" s="1">
        <f t="shared" si="2"/>
        <v>1.4163705E-2</v>
      </c>
      <c r="G19" s="1">
        <f t="shared" si="2"/>
        <v>1.4325831000000001E-2</v>
      </c>
      <c r="H19" s="1">
        <f t="shared" si="2"/>
        <v>1.4271053000000001E-2</v>
      </c>
      <c r="I19" s="1">
        <f t="shared" si="2"/>
        <v>1.438797E-2</v>
      </c>
      <c r="M19" s="3">
        <v>1.5380532000000001E-2</v>
      </c>
      <c r="N19" s="3">
        <v>1.5098355000000001E-2</v>
      </c>
      <c r="O19" s="3">
        <v>1.5121018E-2</v>
      </c>
      <c r="P19" s="3">
        <v>1.5226099999999999E-2</v>
      </c>
      <c r="Q19" s="3">
        <v>1.5116743E-2</v>
      </c>
      <c r="R19" s="3">
        <v>1.5222526E-2</v>
      </c>
      <c r="S19" s="3">
        <v>1.5093499E-2</v>
      </c>
      <c r="T19" s="3">
        <v>1.5124186E-2</v>
      </c>
    </row>
    <row r="20" spans="1:20" x14ac:dyDescent="0.25">
      <c r="A20">
        <v>210</v>
      </c>
      <c r="B20" s="1">
        <f t="shared" si="3"/>
        <v>1.3876304000000001E-2</v>
      </c>
      <c r="C20" s="1">
        <f t="shared" si="2"/>
        <v>1.3623939999999999E-2</v>
      </c>
      <c r="D20" s="1">
        <f t="shared" si="2"/>
        <v>1.3633045E-2</v>
      </c>
      <c r="E20" s="1">
        <f t="shared" si="2"/>
        <v>1.3937110000000001E-2</v>
      </c>
      <c r="F20" s="1">
        <f t="shared" si="2"/>
        <v>1.3616359E-2</v>
      </c>
      <c r="G20" s="1">
        <f t="shared" si="2"/>
        <v>1.3776525E-2</v>
      </c>
      <c r="H20" s="1">
        <f t="shared" si="2"/>
        <v>1.3746171E-2</v>
      </c>
      <c r="I20" s="1">
        <f t="shared" si="2"/>
        <v>1.3879752E-2</v>
      </c>
      <c r="M20" s="3">
        <v>1.5417725E-2</v>
      </c>
      <c r="N20" s="3">
        <v>1.5260350000000001E-2</v>
      </c>
      <c r="O20" s="3">
        <v>1.5265997E-2</v>
      </c>
      <c r="P20" s="3">
        <v>1.5337414000000001E-2</v>
      </c>
      <c r="Q20" s="3">
        <v>1.5259754E-2</v>
      </c>
      <c r="R20" s="3">
        <v>1.5325841E-2</v>
      </c>
      <c r="S20" s="3">
        <v>1.5267584000000001E-2</v>
      </c>
      <c r="T20" s="3">
        <v>1.528624E-2</v>
      </c>
    </row>
    <row r="21" spans="1:20" x14ac:dyDescent="0.25">
      <c r="A21">
        <v>250</v>
      </c>
      <c r="B21" s="1">
        <f t="shared" si="3"/>
        <v>1.136701E-2</v>
      </c>
      <c r="C21" s="1">
        <f t="shared" si="2"/>
        <v>1.1102363000000001E-2</v>
      </c>
      <c r="D21" s="1">
        <f t="shared" si="2"/>
        <v>1.1227157E-2</v>
      </c>
      <c r="E21" s="1">
        <f t="shared" si="2"/>
        <v>1.1634211E-2</v>
      </c>
      <c r="F21" s="1">
        <f t="shared" si="2"/>
        <v>1.1162033999999999E-2</v>
      </c>
      <c r="G21" s="1">
        <f t="shared" si="2"/>
        <v>1.1302520999999999E-2</v>
      </c>
      <c r="H21" s="1">
        <f t="shared" si="2"/>
        <v>1.1383008999999999E-2</v>
      </c>
      <c r="I21" s="1">
        <f t="shared" si="2"/>
        <v>1.1516579000000001E-2</v>
      </c>
      <c r="M21" s="3">
        <v>1.5429371000000001E-2</v>
      </c>
      <c r="N21" s="3">
        <v>1.5339591E-2</v>
      </c>
      <c r="O21" s="3">
        <v>1.5337886E-2</v>
      </c>
      <c r="P21" s="3">
        <v>1.5381308999999999E-2</v>
      </c>
      <c r="Q21" s="3">
        <v>1.5336654E-2</v>
      </c>
      <c r="R21" s="3">
        <v>1.5372050999999999E-2</v>
      </c>
      <c r="S21" s="3">
        <v>1.5352174999999999E-2</v>
      </c>
      <c r="T21" s="3">
        <v>1.5363714000000001E-2</v>
      </c>
    </row>
    <row r="22" spans="1:20" x14ac:dyDescent="0.25">
      <c r="M22" s="3">
        <v>1.5438189E-2</v>
      </c>
      <c r="N22" s="3">
        <v>1.5372445E-2</v>
      </c>
      <c r="O22" s="3">
        <v>1.5371027000000001E-2</v>
      </c>
      <c r="P22" s="3">
        <v>1.5398904E-2</v>
      </c>
      <c r="Q22" s="3">
        <v>1.5368715E-2</v>
      </c>
      <c r="R22" s="3">
        <v>1.5396452999999999E-2</v>
      </c>
      <c r="S22" s="3">
        <v>1.5389172E-2</v>
      </c>
      <c r="T22" s="3">
        <v>1.5395835E-2</v>
      </c>
    </row>
    <row r="23" spans="1:20" x14ac:dyDescent="0.25">
      <c r="A23" s="5" t="s">
        <v>4</v>
      </c>
      <c r="B23" s="5"/>
      <c r="C23" s="5"/>
      <c r="D23" s="5"/>
      <c r="E23" s="5"/>
      <c r="F23" s="5"/>
      <c r="G23" s="5"/>
      <c r="H23" s="5"/>
      <c r="I23" s="5"/>
      <c r="M23" s="3">
        <v>1.5438093E-2</v>
      </c>
      <c r="N23" s="3">
        <v>1.5384689999999999E-2</v>
      </c>
      <c r="O23" s="3">
        <v>1.5387779000000001E-2</v>
      </c>
      <c r="P23" s="3">
        <v>1.5409419000000001E-2</v>
      </c>
      <c r="Q23" s="3">
        <v>1.5384178E-2</v>
      </c>
      <c r="R23" s="3">
        <v>1.5408744E-2</v>
      </c>
      <c r="S23" s="3">
        <v>1.5400811E-2</v>
      </c>
      <c r="T23" s="3">
        <v>1.5408893E-2</v>
      </c>
    </row>
    <row r="24" spans="1:20" x14ac:dyDescent="0.25">
      <c r="A24" t="s">
        <v>0</v>
      </c>
      <c r="B24">
        <v>1</v>
      </c>
      <c r="C24">
        <v>2</v>
      </c>
      <c r="D24">
        <v>3</v>
      </c>
      <c r="E24">
        <v>4</v>
      </c>
      <c r="F24">
        <v>5</v>
      </c>
      <c r="G24">
        <v>6</v>
      </c>
      <c r="H24">
        <v>7</v>
      </c>
      <c r="I24">
        <v>8</v>
      </c>
      <c r="M24" s="3">
        <v>1.545443E-2</v>
      </c>
      <c r="N24" s="3">
        <v>1.5409826999999999E-2</v>
      </c>
      <c r="O24" s="3">
        <v>1.5409910000000001E-2</v>
      </c>
      <c r="P24" s="3">
        <v>1.5426683E-2</v>
      </c>
      <c r="Q24" s="3">
        <v>1.5407743999999999E-2</v>
      </c>
      <c r="R24" s="3">
        <v>1.5426611999999999E-2</v>
      </c>
      <c r="S24" s="3">
        <v>1.5426082000000001E-2</v>
      </c>
      <c r="T24" s="3">
        <v>1.5429859000000001E-2</v>
      </c>
    </row>
    <row r="25" spans="1:20" x14ac:dyDescent="0.25">
      <c r="A25">
        <v>50</v>
      </c>
      <c r="B25" s="2">
        <f>20*LOG(((B14)*B$6)/(B3*(B$17)), 10)</f>
        <v>-3.7313102512266716</v>
      </c>
      <c r="C25" s="2">
        <f t="shared" ref="C25:I25" si="4">20*LOG(((C14)*C$6)/(C3*(C$17)), 10)</f>
        <v>-3.6720598398462116</v>
      </c>
      <c r="D25" s="2">
        <f t="shared" si="4"/>
        <v>-3.646474637238204</v>
      </c>
      <c r="E25" s="2">
        <f t="shared" si="4"/>
        <v>-3.5626046085475642</v>
      </c>
      <c r="F25" s="2">
        <f t="shared" si="4"/>
        <v>-3.7403633791838917</v>
      </c>
      <c r="G25" s="2">
        <f t="shared" si="4"/>
        <v>-3.6281814145943736</v>
      </c>
      <c r="H25" s="2">
        <f t="shared" si="4"/>
        <v>-3.5755100504911672</v>
      </c>
      <c r="I25" s="2">
        <f t="shared" si="4"/>
        <v>-3.7063070340580824</v>
      </c>
      <c r="M25" s="3">
        <v>9.7773419999999996E-3</v>
      </c>
      <c r="N25" s="3">
        <v>9.7637880000000007E-3</v>
      </c>
      <c r="O25" s="3">
        <v>9.8411220000000008E-3</v>
      </c>
      <c r="P25" s="3">
        <v>9.8550749999999996E-3</v>
      </c>
      <c r="Q25" s="3">
        <v>9.7710999999999996E-3</v>
      </c>
      <c r="R25" s="3">
        <v>9.8427540000000004E-3</v>
      </c>
      <c r="S25" s="3">
        <v>9.8370479999999993E-3</v>
      </c>
      <c r="T25" s="3">
        <v>9.7172249999999995E-3</v>
      </c>
    </row>
    <row r="26" spans="1:20" x14ac:dyDescent="0.25">
      <c r="A26">
        <v>60</v>
      </c>
      <c r="B26" s="2">
        <f t="shared" ref="B26:I26" si="5">20*LOG(((B15)*B$6)/(B4*(B$17)), 10)</f>
        <v>-0.88601964216684748</v>
      </c>
      <c r="C26" s="2">
        <f t="shared" si="5"/>
        <v>-0.70152825464386037</v>
      </c>
      <c r="D26" s="2">
        <f t="shared" si="5"/>
        <v>-0.73624093076836683</v>
      </c>
      <c r="E26" s="2">
        <f t="shared" si="5"/>
        <v>-0.73695062390219845</v>
      </c>
      <c r="F26" s="2">
        <f t="shared" si="5"/>
        <v>-0.74246605755747608</v>
      </c>
      <c r="G26" s="2">
        <f t="shared" si="5"/>
        <v>-0.80329448933223424</v>
      </c>
      <c r="H26" s="2">
        <f t="shared" si="5"/>
        <v>-0.67975403753787922</v>
      </c>
      <c r="I26" s="2">
        <f t="shared" si="5"/>
        <v>-0.75424307266107493</v>
      </c>
      <c r="M26" s="3">
        <v>1.3472259E-2</v>
      </c>
      <c r="N26" s="3">
        <v>1.3613867999999999E-2</v>
      </c>
      <c r="O26" s="3">
        <v>1.3554066E-2</v>
      </c>
      <c r="P26" s="3">
        <v>1.3572486999999999E-2</v>
      </c>
      <c r="Q26" s="3">
        <v>1.3506873000000001E-2</v>
      </c>
      <c r="R26" s="3">
        <v>1.3530873000000001E-2</v>
      </c>
      <c r="S26" s="3">
        <v>1.3602635E-2</v>
      </c>
      <c r="T26" s="3">
        <v>1.3586007000000001E-2</v>
      </c>
    </row>
    <row r="27" spans="1:20" x14ac:dyDescent="0.25">
      <c r="A27">
        <v>70</v>
      </c>
      <c r="B27" s="2">
        <f t="shared" ref="B27:I27" si="6">20*LOG(((B16)*B$6)/(B5*(B$17)), 10)</f>
        <v>-0.15801519860075486</v>
      </c>
      <c r="C27" s="2">
        <f t="shared" si="6"/>
        <v>-9.4521815251235944E-3</v>
      </c>
      <c r="D27" s="2">
        <f t="shared" si="6"/>
        <v>-3.9929110859919729E-2</v>
      </c>
      <c r="E27" s="2">
        <f t="shared" si="6"/>
        <v>-5.1802610352136208E-2</v>
      </c>
      <c r="F27" s="2">
        <f t="shared" si="6"/>
        <v>-2.8470987591029413E-2</v>
      </c>
      <c r="G27" s="2">
        <f t="shared" si="6"/>
        <v>-0.10932617866061028</v>
      </c>
      <c r="H27" s="2">
        <f t="shared" si="6"/>
        <v>2.5601075183208543E-2</v>
      </c>
      <c r="I27" s="2">
        <f t="shared" si="6"/>
        <v>-5.016582602582173E-2</v>
      </c>
      <c r="M27" s="3">
        <v>1.4641395E-2</v>
      </c>
      <c r="N27" s="3">
        <v>1.4792606999999999E-2</v>
      </c>
      <c r="O27" s="3">
        <v>1.4695919E-2</v>
      </c>
      <c r="P27" s="3">
        <v>1.4671152E-2</v>
      </c>
      <c r="Q27" s="3">
        <v>1.4683015000000001E-2</v>
      </c>
      <c r="R27" s="3">
        <v>1.466275E-2</v>
      </c>
      <c r="S27" s="3">
        <v>1.47735E-2</v>
      </c>
      <c r="T27" s="3">
        <v>1.4697029E-2</v>
      </c>
    </row>
    <row r="28" spans="1:20" x14ac:dyDescent="0.25">
      <c r="A28">
        <v>100</v>
      </c>
      <c r="B28" s="2">
        <f t="shared" ref="B28:I28" si="7">20*LOG(((B17)*B$6)/(B6*(B$17)), 10)</f>
        <v>0</v>
      </c>
      <c r="C28" s="2">
        <f t="shared" si="7"/>
        <v>0</v>
      </c>
      <c r="D28" s="2">
        <f t="shared" si="7"/>
        <v>0</v>
      </c>
      <c r="E28" s="2">
        <f t="shared" si="7"/>
        <v>0</v>
      </c>
      <c r="F28" s="2">
        <f t="shared" si="7"/>
        <v>0</v>
      </c>
      <c r="G28" s="2">
        <f t="shared" si="7"/>
        <v>0</v>
      </c>
      <c r="H28" s="2">
        <f t="shared" si="7"/>
        <v>0</v>
      </c>
      <c r="I28" s="2">
        <f t="shared" si="7"/>
        <v>0</v>
      </c>
      <c r="M28" s="3">
        <v>1.4925163999999999E-2</v>
      </c>
      <c r="N28" s="3">
        <v>1.490814E-2</v>
      </c>
      <c r="O28" s="3">
        <v>1.4847898999999999E-2</v>
      </c>
      <c r="P28" s="3">
        <v>1.4876749999999999E-2</v>
      </c>
      <c r="Q28" s="3">
        <v>1.4882256E-2</v>
      </c>
      <c r="R28" s="3">
        <v>1.4855302000000001E-2</v>
      </c>
      <c r="S28" s="3">
        <v>1.4888268E-2</v>
      </c>
      <c r="T28" s="3">
        <v>1.4903115E-2</v>
      </c>
    </row>
    <row r="29" spans="1:20" x14ac:dyDescent="0.25">
      <c r="A29">
        <v>140</v>
      </c>
      <c r="B29" s="2">
        <f t="shared" ref="B29:I29" si="8">20*LOG(((B18)*B$6)/(B7*(B$17)), 10)</f>
        <v>-8.1713497966003287E-2</v>
      </c>
      <c r="C29" s="2">
        <f t="shared" si="8"/>
        <v>-0.17567003636583928</v>
      </c>
      <c r="D29" s="2">
        <f t="shared" si="8"/>
        <v>-0.14164949009851607</v>
      </c>
      <c r="E29" s="2">
        <f t="shared" si="8"/>
        <v>-8.8016565146174994E-2</v>
      </c>
      <c r="F29" s="2">
        <f t="shared" si="8"/>
        <v>-0.12432654782394886</v>
      </c>
      <c r="G29" s="2">
        <f t="shared" si="8"/>
        <v>-0.10324106514750692</v>
      </c>
      <c r="H29" s="2">
        <f t="shared" si="8"/>
        <v>-0.1466369274411341</v>
      </c>
      <c r="I29" s="2">
        <f t="shared" si="8"/>
        <v>-0.14245068181638851</v>
      </c>
      <c r="M29" s="3">
        <v>1.4766206E-2</v>
      </c>
      <c r="N29" s="3">
        <v>1.4670516E-2</v>
      </c>
      <c r="O29" s="3">
        <v>1.4656508E-2</v>
      </c>
      <c r="P29" s="3">
        <v>1.4688618000000001E-2</v>
      </c>
      <c r="Q29" s="3">
        <v>1.4647568E-2</v>
      </c>
      <c r="R29" s="3">
        <v>1.4706597E-2</v>
      </c>
      <c r="S29" s="3">
        <v>1.4677529E-2</v>
      </c>
      <c r="T29" s="3">
        <v>1.4668687E-2</v>
      </c>
    </row>
    <row r="30" spans="1:20" x14ac:dyDescent="0.25">
      <c r="A30">
        <v>180</v>
      </c>
      <c r="B30" s="2">
        <f t="shared" ref="B30:I30" si="9">20*LOG(((B19)*B$6)/(B8*(B$17)), 10)</f>
        <v>-0.12108424675943605</v>
      </c>
      <c r="C30" s="2">
        <f t="shared" si="9"/>
        <v>-0.28395832673165861</v>
      </c>
      <c r="D30" s="2">
        <f t="shared" si="9"/>
        <v>-0.26507193706097654</v>
      </c>
      <c r="E30" s="2">
        <f t="shared" si="9"/>
        <v>-0.11545991753305658</v>
      </c>
      <c r="F30" s="2">
        <f t="shared" si="9"/>
        <v>-0.27192938203339645</v>
      </c>
      <c r="G30" s="2">
        <f t="shared" si="9"/>
        <v>-0.19009634359910116</v>
      </c>
      <c r="H30" s="2">
        <f t="shared" si="9"/>
        <v>-0.25055269966333671</v>
      </c>
      <c r="I30" s="2">
        <f t="shared" si="9"/>
        <v>-0.19599096353314246</v>
      </c>
      <c r="M30" s="3">
        <v>1.4539389999999999E-2</v>
      </c>
      <c r="N30" s="3">
        <v>1.4393131E-2</v>
      </c>
      <c r="O30" s="3">
        <v>1.4454369E-2</v>
      </c>
      <c r="P30" s="3">
        <v>1.4580408E-2</v>
      </c>
      <c r="Q30" s="3">
        <v>1.4406587E-2</v>
      </c>
      <c r="R30" s="3">
        <v>1.451565E-2</v>
      </c>
      <c r="S30" s="3">
        <v>1.4451637999999999E-2</v>
      </c>
      <c r="T30" s="3">
        <v>1.4554111999999999E-2</v>
      </c>
    </row>
    <row r="31" spans="1:20" x14ac:dyDescent="0.25">
      <c r="A31">
        <v>210</v>
      </c>
      <c r="B31" s="2">
        <f t="shared" ref="B31:I31" si="10">20*LOG(((B20)*B$6)/(B9*(B$17)), 10)</f>
        <v>-0.51547030331790711</v>
      </c>
      <c r="C31" s="2">
        <f t="shared" si="10"/>
        <v>-0.66809142650989128</v>
      </c>
      <c r="D31" s="2">
        <f t="shared" si="10"/>
        <v>-0.61033623787013713</v>
      </c>
      <c r="E31" s="2">
        <f t="shared" si="10"/>
        <v>-0.42737140594206013</v>
      </c>
      <c r="F31" s="2">
        <f t="shared" si="10"/>
        <v>-0.62302425190445465</v>
      </c>
      <c r="G31" s="2">
        <f t="shared" si="10"/>
        <v>-0.53625909138843453</v>
      </c>
      <c r="H31" s="2">
        <f t="shared" si="10"/>
        <v>-0.58347768306695058</v>
      </c>
      <c r="I31" s="2">
        <f t="shared" si="10"/>
        <v>-0.51484454710816929</v>
      </c>
      <c r="M31" s="3">
        <v>1.3876416000000001E-2</v>
      </c>
      <c r="N31" s="3">
        <v>1.3730727999999999E-2</v>
      </c>
      <c r="O31" s="3">
        <v>1.378098E-2</v>
      </c>
      <c r="P31" s="3">
        <v>1.404476E-2</v>
      </c>
      <c r="Q31" s="3">
        <v>1.3730674E-2</v>
      </c>
      <c r="R31" s="3">
        <v>1.3871333E-2</v>
      </c>
      <c r="S31" s="3">
        <v>1.384909E-2</v>
      </c>
      <c r="T31" s="3">
        <v>1.3953897999999999E-2</v>
      </c>
    </row>
    <row r="32" spans="1:20" x14ac:dyDescent="0.25">
      <c r="A32">
        <v>250</v>
      </c>
      <c r="B32" s="2">
        <f t="shared" ref="B32:I32" si="11">20*LOG(((B21)*B$6)/(B10*(B$17)), 10)</f>
        <v>-2.2545269888378296</v>
      </c>
      <c r="C32" s="2">
        <f t="shared" si="11"/>
        <v>-2.4576433098595691</v>
      </c>
      <c r="D32" s="2">
        <f t="shared" si="11"/>
        <v>-2.3102474305827765</v>
      </c>
      <c r="E32" s="2">
        <f t="shared" si="11"/>
        <v>-2.0082792300476706</v>
      </c>
      <c r="F32" s="2">
        <f t="shared" si="11"/>
        <v>-2.363128615561588</v>
      </c>
      <c r="G32" s="2">
        <f t="shared" si="11"/>
        <v>-2.2675816530691213</v>
      </c>
      <c r="H32" s="2">
        <f t="shared" si="11"/>
        <v>-2.236184999367834</v>
      </c>
      <c r="I32" s="2">
        <f t="shared" si="11"/>
        <v>-2.1505462221511942</v>
      </c>
      <c r="M32" s="3">
        <v>1.127977E-2</v>
      </c>
      <c r="N32" s="3">
        <v>1.1121809E-2</v>
      </c>
      <c r="O32" s="3">
        <v>1.1278541E-2</v>
      </c>
      <c r="P32" s="3">
        <v>1.1598567000000001E-2</v>
      </c>
      <c r="Q32" s="3">
        <v>1.12041E-2</v>
      </c>
      <c r="R32" s="3">
        <v>1.1327940999999999E-2</v>
      </c>
      <c r="S32" s="3">
        <v>1.1388987E-2</v>
      </c>
      <c r="T32" s="3">
        <v>1.1515795000000001E-2</v>
      </c>
    </row>
    <row r="33" spans="1:20" x14ac:dyDescent="0.25">
      <c r="M33" s="3">
        <v>1.5456351E-2</v>
      </c>
      <c r="N33" s="3">
        <v>1.5186470000000001E-2</v>
      </c>
      <c r="O33" s="3">
        <v>1.5170253E-2</v>
      </c>
      <c r="P33" s="3">
        <v>1.5258571E-2</v>
      </c>
      <c r="Q33" s="3">
        <v>1.5220925E-2</v>
      </c>
      <c r="R33" s="3">
        <v>1.5265224000000001E-2</v>
      </c>
      <c r="S33" s="3">
        <v>1.5154994999999999E-2</v>
      </c>
      <c r="T33" s="3">
        <v>1.5214017999999999E-2</v>
      </c>
    </row>
    <row r="34" spans="1:20" x14ac:dyDescent="0.25">
      <c r="M34" s="3">
        <v>1.5379199E-2</v>
      </c>
      <c r="N34" s="3">
        <v>1.5056742E-2</v>
      </c>
      <c r="O34" s="3">
        <v>1.5084901E-2</v>
      </c>
      <c r="P34" s="3">
        <v>1.5190164000000001E-2</v>
      </c>
      <c r="Q34" s="3">
        <v>1.5094196000000001E-2</v>
      </c>
      <c r="R34" s="3">
        <v>1.5195800000000001E-2</v>
      </c>
      <c r="S34" s="3">
        <v>1.504753E-2</v>
      </c>
      <c r="T34" s="3">
        <v>1.5094394000000001E-2</v>
      </c>
    </row>
    <row r="35" spans="1:20" x14ac:dyDescent="0.25">
      <c r="A35" s="4" t="s">
        <v>5</v>
      </c>
      <c r="B35" s="4"/>
      <c r="C35" s="4"/>
      <c r="D35" s="4"/>
      <c r="E35" s="4"/>
      <c r="F35" s="4"/>
      <c r="G35" s="4"/>
      <c r="H35" s="4"/>
      <c r="I35" s="4"/>
      <c r="M35" s="3">
        <v>1.5373443000000001E-2</v>
      </c>
      <c r="N35" s="3">
        <v>1.5092080000000001E-2</v>
      </c>
      <c r="O35" s="3">
        <v>1.5114818E-2</v>
      </c>
      <c r="P35" s="3">
        <v>1.5218784000000001E-2</v>
      </c>
      <c r="Q35" s="3">
        <v>1.5115544E-2</v>
      </c>
      <c r="R35" s="3">
        <v>1.5218046000000001E-2</v>
      </c>
      <c r="S35" s="3">
        <v>1.5087816E-2</v>
      </c>
      <c r="T35" s="3">
        <v>1.5121875E-2</v>
      </c>
    </row>
    <row r="36" spans="1:20" x14ac:dyDescent="0.25">
      <c r="A36" t="s">
        <v>1</v>
      </c>
      <c r="B36">
        <v>1</v>
      </c>
      <c r="C36">
        <v>2</v>
      </c>
      <c r="D36">
        <v>3</v>
      </c>
      <c r="E36">
        <v>4</v>
      </c>
      <c r="F36">
        <v>5</v>
      </c>
      <c r="G36">
        <v>6</v>
      </c>
      <c r="H36">
        <v>7</v>
      </c>
      <c r="I36">
        <v>8</v>
      </c>
      <c r="M36" s="3">
        <v>1.5406510999999999E-2</v>
      </c>
      <c r="N36" s="3">
        <v>1.5250400000000001E-2</v>
      </c>
      <c r="O36" s="3">
        <v>1.5250825000000001E-2</v>
      </c>
      <c r="P36" s="3">
        <v>1.5326559E-2</v>
      </c>
      <c r="Q36" s="3">
        <v>1.5252496000000001E-2</v>
      </c>
      <c r="R36" s="3">
        <v>1.5317608E-2</v>
      </c>
      <c r="S36" s="3">
        <v>1.5258776E-2</v>
      </c>
      <c r="T36" s="3">
        <v>1.5274411E-2</v>
      </c>
    </row>
    <row r="37" spans="1:20" x14ac:dyDescent="0.25">
      <c r="A37">
        <v>50</v>
      </c>
      <c r="B37" s="1">
        <f t="shared" ref="B37:I44" si="12">M17</f>
        <v>1.5460606999999999E-2</v>
      </c>
      <c r="C37" s="1">
        <f t="shared" si="12"/>
        <v>1.5185120999999999E-2</v>
      </c>
      <c r="D37" s="1">
        <f t="shared" si="12"/>
        <v>1.51734E-2</v>
      </c>
      <c r="E37" s="1">
        <f t="shared" si="12"/>
        <v>1.5256438000000001E-2</v>
      </c>
      <c r="F37" s="1">
        <f t="shared" si="12"/>
        <v>1.5223633E-2</v>
      </c>
      <c r="G37" s="1">
        <f t="shared" si="12"/>
        <v>1.5263499E-2</v>
      </c>
      <c r="H37" s="1">
        <f t="shared" si="12"/>
        <v>1.5157435E-2</v>
      </c>
      <c r="I37" s="1">
        <f t="shared" si="12"/>
        <v>1.5210446000000001E-2</v>
      </c>
      <c r="M37" s="3">
        <v>1.5417923E-2</v>
      </c>
      <c r="N37" s="3">
        <v>1.5326576999999999E-2</v>
      </c>
      <c r="O37" s="3">
        <v>1.5325893E-2</v>
      </c>
      <c r="P37" s="3">
        <v>1.5367877E-2</v>
      </c>
      <c r="Q37" s="3">
        <v>1.5325834E-2</v>
      </c>
      <c r="R37" s="3">
        <v>1.5358261E-2</v>
      </c>
      <c r="S37" s="3">
        <v>1.5337750000000001E-2</v>
      </c>
      <c r="T37" s="3">
        <v>1.5349091E-2</v>
      </c>
    </row>
    <row r="38" spans="1:20" x14ac:dyDescent="0.25">
      <c r="A38">
        <v>60</v>
      </c>
      <c r="B38" s="1">
        <f t="shared" si="12"/>
        <v>1.5388021E-2</v>
      </c>
      <c r="C38" s="1">
        <f t="shared" si="12"/>
        <v>1.5064731E-2</v>
      </c>
      <c r="D38" s="1">
        <f t="shared" si="12"/>
        <v>1.5090933000000001E-2</v>
      </c>
      <c r="E38" s="1">
        <f t="shared" si="12"/>
        <v>1.5193577999999999E-2</v>
      </c>
      <c r="F38" s="1">
        <f t="shared" si="12"/>
        <v>1.5099306E-2</v>
      </c>
      <c r="G38" s="1">
        <f t="shared" si="12"/>
        <v>1.5197777000000001E-2</v>
      </c>
      <c r="H38" s="1">
        <f t="shared" si="12"/>
        <v>1.5053834E-2</v>
      </c>
      <c r="I38" s="1">
        <f t="shared" si="12"/>
        <v>1.5098501E-2</v>
      </c>
      <c r="M38" s="3">
        <v>1.5422623999999999E-2</v>
      </c>
      <c r="N38" s="3">
        <v>1.5359256999999999E-2</v>
      </c>
      <c r="O38" s="3">
        <v>1.5359533E-2</v>
      </c>
      <c r="P38" s="3">
        <v>1.5389976E-2</v>
      </c>
      <c r="Q38" s="3">
        <v>1.5360478E-2</v>
      </c>
      <c r="R38" s="3">
        <v>1.5382511E-2</v>
      </c>
      <c r="S38" s="3">
        <v>1.5375088E-2</v>
      </c>
      <c r="T38" s="3">
        <v>1.5383152000000001E-2</v>
      </c>
    </row>
    <row r="39" spans="1:20" x14ac:dyDescent="0.25">
      <c r="A39">
        <v>70</v>
      </c>
      <c r="B39" s="1">
        <f t="shared" si="12"/>
        <v>1.5380532000000001E-2</v>
      </c>
      <c r="C39" s="1">
        <f t="shared" si="12"/>
        <v>1.5098355000000001E-2</v>
      </c>
      <c r="D39" s="1">
        <f t="shared" si="12"/>
        <v>1.5121018E-2</v>
      </c>
      <c r="E39" s="1">
        <f t="shared" si="12"/>
        <v>1.5226099999999999E-2</v>
      </c>
      <c r="F39" s="1">
        <f t="shared" si="12"/>
        <v>1.5116743E-2</v>
      </c>
      <c r="G39" s="1">
        <f t="shared" si="12"/>
        <v>1.5222526E-2</v>
      </c>
      <c r="H39" s="1">
        <f t="shared" si="12"/>
        <v>1.5093499E-2</v>
      </c>
      <c r="I39" s="1">
        <f t="shared" si="12"/>
        <v>1.5124186E-2</v>
      </c>
      <c r="M39" s="3">
        <v>1.5426034999999999E-2</v>
      </c>
      <c r="N39" s="3">
        <v>1.5373392E-2</v>
      </c>
      <c r="O39" s="3">
        <v>1.5372200000000001E-2</v>
      </c>
      <c r="P39" s="3">
        <v>1.5396236000000001E-2</v>
      </c>
      <c r="Q39" s="3">
        <v>1.5369041999999999E-2</v>
      </c>
      <c r="R39" s="3">
        <v>1.5391066E-2</v>
      </c>
      <c r="S39" s="3">
        <v>1.5389130000000001E-2</v>
      </c>
      <c r="T39" s="3">
        <v>1.5398926E-2</v>
      </c>
    </row>
    <row r="40" spans="1:20" x14ac:dyDescent="0.25">
      <c r="A40">
        <v>100</v>
      </c>
      <c r="B40" s="1">
        <f t="shared" si="12"/>
        <v>1.5417725E-2</v>
      </c>
      <c r="C40" s="1">
        <f t="shared" si="12"/>
        <v>1.5260350000000001E-2</v>
      </c>
      <c r="D40" s="1">
        <f t="shared" si="12"/>
        <v>1.5265997E-2</v>
      </c>
      <c r="E40" s="1">
        <f t="shared" si="12"/>
        <v>1.5337414000000001E-2</v>
      </c>
      <c r="F40" s="1">
        <f t="shared" si="12"/>
        <v>1.5259754E-2</v>
      </c>
      <c r="G40" s="1">
        <f t="shared" si="12"/>
        <v>1.5325841E-2</v>
      </c>
      <c r="H40" s="1">
        <f t="shared" si="12"/>
        <v>1.5267584000000001E-2</v>
      </c>
      <c r="I40" s="1">
        <f t="shared" si="12"/>
        <v>1.528624E-2</v>
      </c>
      <c r="M40" s="3">
        <v>1.5442566E-2</v>
      </c>
      <c r="N40" s="3">
        <v>1.5396356E-2</v>
      </c>
      <c r="O40" s="3">
        <v>1.5397286E-2</v>
      </c>
      <c r="P40" s="3">
        <v>1.5415491999999999E-2</v>
      </c>
      <c r="Q40" s="3">
        <v>1.5393258999999999E-2</v>
      </c>
      <c r="R40" s="3">
        <v>1.5412945000000001E-2</v>
      </c>
      <c r="S40" s="3">
        <v>1.5411213999999999E-2</v>
      </c>
      <c r="T40" s="3">
        <v>1.5420672E-2</v>
      </c>
    </row>
    <row r="41" spans="1:20" x14ac:dyDescent="0.25">
      <c r="A41">
        <v>140</v>
      </c>
      <c r="B41" s="1">
        <f t="shared" si="12"/>
        <v>1.5429371000000001E-2</v>
      </c>
      <c r="C41" s="1">
        <f t="shared" si="12"/>
        <v>1.5339591E-2</v>
      </c>
      <c r="D41" s="1">
        <f t="shared" si="12"/>
        <v>1.5337886E-2</v>
      </c>
      <c r="E41" s="1">
        <f t="shared" si="12"/>
        <v>1.5381308999999999E-2</v>
      </c>
      <c r="F41" s="1">
        <f t="shared" si="12"/>
        <v>1.5336654E-2</v>
      </c>
      <c r="G41" s="1">
        <f t="shared" si="12"/>
        <v>1.5372050999999999E-2</v>
      </c>
      <c r="H41" s="1">
        <f t="shared" si="12"/>
        <v>1.5352174999999999E-2</v>
      </c>
      <c r="I41" s="1">
        <f t="shared" si="12"/>
        <v>1.5363714000000001E-2</v>
      </c>
      <c r="M41" s="3">
        <v>4.8893674999999998E-2</v>
      </c>
      <c r="N41" s="3">
        <v>4.8400595999999997E-2</v>
      </c>
      <c r="O41" s="3">
        <v>4.8553981000000003E-2</v>
      </c>
      <c r="P41" s="3">
        <v>4.8901728999999998E-2</v>
      </c>
      <c r="Q41" s="3">
        <v>4.8554952999999998E-2</v>
      </c>
      <c r="R41" s="3">
        <v>4.8802707000000001E-2</v>
      </c>
      <c r="S41" s="3">
        <v>4.8563343000000002E-2</v>
      </c>
      <c r="T41" s="3">
        <v>4.8299680999999997E-2</v>
      </c>
    </row>
    <row r="42" spans="1:20" x14ac:dyDescent="0.25">
      <c r="A42">
        <v>180</v>
      </c>
      <c r="B42" s="1">
        <f t="shared" si="12"/>
        <v>1.5438189E-2</v>
      </c>
      <c r="C42" s="1">
        <f t="shared" si="12"/>
        <v>1.5372445E-2</v>
      </c>
      <c r="D42" s="1">
        <f t="shared" si="12"/>
        <v>1.5371027000000001E-2</v>
      </c>
      <c r="E42" s="1">
        <f t="shared" si="12"/>
        <v>1.5398904E-2</v>
      </c>
      <c r="F42" s="1">
        <f t="shared" si="12"/>
        <v>1.5368715E-2</v>
      </c>
      <c r="G42" s="1">
        <f t="shared" si="12"/>
        <v>1.5396452999999999E-2</v>
      </c>
      <c r="H42" s="1">
        <f t="shared" si="12"/>
        <v>1.5389172E-2</v>
      </c>
      <c r="I42" s="1">
        <f t="shared" si="12"/>
        <v>1.5395835E-2</v>
      </c>
      <c r="M42" s="3">
        <v>6.7720040999999995E-2</v>
      </c>
      <c r="N42" s="3">
        <v>6.7619525E-2</v>
      </c>
      <c r="O42" s="3">
        <v>6.7129247000000003E-2</v>
      </c>
      <c r="P42" s="3">
        <v>6.7505783999999999E-2</v>
      </c>
      <c r="Q42" s="3">
        <v>6.7328595000000005E-2</v>
      </c>
      <c r="R42" s="3">
        <v>6.7247323999999997E-2</v>
      </c>
      <c r="S42" s="3">
        <v>6.7851111000000006E-2</v>
      </c>
      <c r="T42" s="3">
        <v>6.7479364999999999E-2</v>
      </c>
    </row>
    <row r="43" spans="1:20" x14ac:dyDescent="0.25">
      <c r="A43">
        <v>210</v>
      </c>
      <c r="B43" s="1">
        <f t="shared" si="12"/>
        <v>1.5438093E-2</v>
      </c>
      <c r="C43" s="1">
        <f t="shared" si="12"/>
        <v>1.5384689999999999E-2</v>
      </c>
      <c r="D43" s="1">
        <f t="shared" si="12"/>
        <v>1.5387779000000001E-2</v>
      </c>
      <c r="E43" s="1">
        <f t="shared" si="12"/>
        <v>1.5409419000000001E-2</v>
      </c>
      <c r="F43" s="1">
        <f t="shared" si="12"/>
        <v>1.5384178E-2</v>
      </c>
      <c r="G43" s="1">
        <f t="shared" si="12"/>
        <v>1.5408744E-2</v>
      </c>
      <c r="H43" s="1">
        <f t="shared" si="12"/>
        <v>1.5400811E-2</v>
      </c>
      <c r="I43" s="1">
        <f t="shared" si="12"/>
        <v>1.5408893E-2</v>
      </c>
      <c r="M43" s="3">
        <v>7.3252185999999997E-2</v>
      </c>
      <c r="N43" s="3">
        <v>7.3296040000000007E-2</v>
      </c>
      <c r="O43" s="3">
        <v>7.2994805999999995E-2</v>
      </c>
      <c r="P43" s="3">
        <v>7.3272466999999994E-2</v>
      </c>
      <c r="Q43" s="3">
        <v>7.2891787E-2</v>
      </c>
      <c r="R43" s="3">
        <v>7.2940654999999993E-2</v>
      </c>
      <c r="S43" s="3">
        <v>7.3257751999999995E-2</v>
      </c>
      <c r="T43" s="3">
        <v>7.3206119E-2</v>
      </c>
    </row>
    <row r="44" spans="1:20" x14ac:dyDescent="0.25">
      <c r="A44">
        <v>250</v>
      </c>
      <c r="B44" s="1">
        <f t="shared" si="12"/>
        <v>1.545443E-2</v>
      </c>
      <c r="C44" s="1">
        <f t="shared" si="12"/>
        <v>1.5409826999999999E-2</v>
      </c>
      <c r="D44" s="1">
        <f t="shared" si="12"/>
        <v>1.5409910000000001E-2</v>
      </c>
      <c r="E44" s="1">
        <f t="shared" si="12"/>
        <v>1.5426683E-2</v>
      </c>
      <c r="F44" s="1">
        <f t="shared" si="12"/>
        <v>1.5407743999999999E-2</v>
      </c>
      <c r="G44" s="1">
        <f t="shared" si="12"/>
        <v>1.5426611999999999E-2</v>
      </c>
      <c r="H44" s="1">
        <f t="shared" si="12"/>
        <v>1.5426082000000001E-2</v>
      </c>
      <c r="I44" s="1">
        <f t="shared" si="12"/>
        <v>1.5429859000000001E-2</v>
      </c>
      <c r="M44" s="3">
        <v>7.4525810999999997E-2</v>
      </c>
      <c r="N44" s="3">
        <v>7.3929942999999998E-2</v>
      </c>
      <c r="O44" s="3">
        <v>7.3795400999999997E-2</v>
      </c>
      <c r="P44" s="3">
        <v>7.4281535999999995E-2</v>
      </c>
      <c r="Q44" s="3">
        <v>7.3930033000000006E-2</v>
      </c>
      <c r="R44" s="3">
        <v>7.3860325000000004E-2</v>
      </c>
      <c r="S44" s="3">
        <v>7.3983974999999993E-2</v>
      </c>
      <c r="T44" s="3">
        <v>7.4154221000000006E-2</v>
      </c>
    </row>
    <row r="45" spans="1:20" x14ac:dyDescent="0.25">
      <c r="M45" s="3">
        <v>7.4060424999999999E-2</v>
      </c>
      <c r="N45" s="3">
        <v>7.2829335999999995E-2</v>
      </c>
      <c r="O45" s="3">
        <v>7.2868265000000002E-2</v>
      </c>
      <c r="P45" s="3">
        <v>7.3500827000000005E-2</v>
      </c>
      <c r="Q45" s="3">
        <v>7.2823256000000003E-2</v>
      </c>
      <c r="R45" s="3">
        <v>7.3190346000000003E-2</v>
      </c>
      <c r="S45" s="3">
        <v>7.2956398000000006E-2</v>
      </c>
      <c r="T45" s="3">
        <v>7.3363669000000006E-2</v>
      </c>
    </row>
    <row r="46" spans="1:20" x14ac:dyDescent="0.25">
      <c r="A46" s="4" t="s">
        <v>6</v>
      </c>
      <c r="B46" s="4"/>
      <c r="C46" s="4"/>
      <c r="D46" s="4"/>
      <c r="E46" s="4"/>
      <c r="F46" s="4"/>
      <c r="G46" s="4"/>
      <c r="H46" s="4"/>
      <c r="I46" s="4"/>
      <c r="M46" s="3">
        <v>7.3310606E-2</v>
      </c>
      <c r="N46" s="3">
        <v>7.1946762999999997E-2</v>
      </c>
      <c r="O46" s="3">
        <v>7.2069384E-2</v>
      </c>
      <c r="P46" s="3">
        <v>7.3216870000000003E-2</v>
      </c>
      <c r="Q46" s="3">
        <v>7.2059235999999999E-2</v>
      </c>
      <c r="R46" s="3">
        <v>7.2695039000000003E-2</v>
      </c>
      <c r="S46" s="3">
        <v>7.2240911000000005E-2</v>
      </c>
      <c r="T46" s="3">
        <v>7.2916083000000007E-2</v>
      </c>
    </row>
    <row r="47" spans="1:20" x14ac:dyDescent="0.25">
      <c r="A47" t="s">
        <v>1</v>
      </c>
      <c r="B47">
        <v>1</v>
      </c>
      <c r="C47">
        <v>2</v>
      </c>
      <c r="D47">
        <v>3</v>
      </c>
      <c r="E47">
        <v>4</v>
      </c>
      <c r="F47">
        <v>5</v>
      </c>
      <c r="G47">
        <v>6</v>
      </c>
      <c r="H47">
        <v>7</v>
      </c>
      <c r="I47">
        <v>8</v>
      </c>
      <c r="M47" s="3">
        <v>7.0239446999999997E-2</v>
      </c>
      <c r="N47" s="3">
        <v>6.8778678999999995E-2</v>
      </c>
      <c r="O47" s="3">
        <v>6.9237999999999994E-2</v>
      </c>
      <c r="P47" s="3">
        <v>7.0637718000000002E-2</v>
      </c>
      <c r="Q47" s="3">
        <v>6.9006965000000003E-2</v>
      </c>
      <c r="R47" s="3">
        <v>6.9739640000000006E-2</v>
      </c>
      <c r="S47" s="3">
        <v>6.9361254999999997E-2</v>
      </c>
      <c r="T47" s="3">
        <v>7.0175751999999994E-2</v>
      </c>
    </row>
    <row r="48" spans="1:20" x14ac:dyDescent="0.25">
      <c r="A48">
        <v>50</v>
      </c>
      <c r="B48" s="1">
        <f t="shared" ref="B48:I55" si="13">M25</f>
        <v>9.7773419999999996E-3</v>
      </c>
      <c r="C48" s="1">
        <f t="shared" si="13"/>
        <v>9.7637880000000007E-3</v>
      </c>
      <c r="D48" s="1">
        <f t="shared" si="13"/>
        <v>9.8411220000000008E-3</v>
      </c>
      <c r="E48" s="1">
        <f t="shared" si="13"/>
        <v>9.8550749999999996E-3</v>
      </c>
      <c r="F48" s="1">
        <f t="shared" si="13"/>
        <v>9.7710999999999996E-3</v>
      </c>
      <c r="G48" s="1">
        <f t="shared" si="13"/>
        <v>9.8427540000000004E-3</v>
      </c>
      <c r="H48" s="1">
        <f t="shared" si="13"/>
        <v>9.8370479999999993E-3</v>
      </c>
      <c r="I48" s="1">
        <f t="shared" si="13"/>
        <v>9.7172249999999995E-3</v>
      </c>
      <c r="M48" s="3">
        <v>5.7371872999999997E-2</v>
      </c>
      <c r="N48" s="3">
        <v>5.6134224000000003E-2</v>
      </c>
      <c r="O48" s="3">
        <v>5.6891110000000002E-2</v>
      </c>
      <c r="P48" s="3">
        <v>5.8820426000000002E-2</v>
      </c>
      <c r="Q48" s="3">
        <v>5.6537110000000002E-2</v>
      </c>
      <c r="R48" s="3">
        <v>5.7187389999999998E-2</v>
      </c>
      <c r="S48" s="3">
        <v>5.7378247E-2</v>
      </c>
      <c r="T48" s="3">
        <v>5.8160684999999997E-2</v>
      </c>
    </row>
    <row r="49" spans="1:20" x14ac:dyDescent="0.25">
      <c r="A49">
        <v>60</v>
      </c>
      <c r="B49" s="1">
        <f t="shared" si="13"/>
        <v>1.3472259E-2</v>
      </c>
      <c r="C49" s="1">
        <f t="shared" si="13"/>
        <v>1.3613867999999999E-2</v>
      </c>
      <c r="D49" s="1">
        <f t="shared" si="13"/>
        <v>1.3554066E-2</v>
      </c>
      <c r="E49" s="1">
        <f t="shared" si="13"/>
        <v>1.3572486999999999E-2</v>
      </c>
      <c r="F49" s="1">
        <f t="shared" si="13"/>
        <v>1.3506873000000001E-2</v>
      </c>
      <c r="G49" s="1">
        <f t="shared" si="13"/>
        <v>1.3530873000000001E-2</v>
      </c>
      <c r="H49" s="1">
        <f t="shared" si="13"/>
        <v>1.3602635E-2</v>
      </c>
      <c r="I49" s="1">
        <f t="shared" si="13"/>
        <v>1.3586007000000001E-2</v>
      </c>
      <c r="M49" s="6">
        <v>1.5458105999999999E-2</v>
      </c>
      <c r="N49" s="6">
        <v>1.518369E-2</v>
      </c>
      <c r="O49" s="6">
        <v>1.5167762E-2</v>
      </c>
      <c r="P49" s="6">
        <v>1.5258224000000001E-2</v>
      </c>
      <c r="Q49" s="6">
        <v>1.522163E-2</v>
      </c>
      <c r="R49" s="6">
        <v>1.5264764E-2</v>
      </c>
      <c r="S49" s="6">
        <v>1.5151697E-2</v>
      </c>
      <c r="T49" s="6">
        <v>1.5213450999999999E-2</v>
      </c>
    </row>
    <row r="50" spans="1:20" x14ac:dyDescent="0.25">
      <c r="A50">
        <v>70</v>
      </c>
      <c r="B50" s="1">
        <f t="shared" si="13"/>
        <v>1.4641395E-2</v>
      </c>
      <c r="C50" s="1">
        <f t="shared" si="13"/>
        <v>1.4792606999999999E-2</v>
      </c>
      <c r="D50" s="1">
        <f t="shared" si="13"/>
        <v>1.4695919E-2</v>
      </c>
      <c r="E50" s="1">
        <f t="shared" si="13"/>
        <v>1.4671152E-2</v>
      </c>
      <c r="F50" s="1">
        <f t="shared" si="13"/>
        <v>1.4683015000000001E-2</v>
      </c>
      <c r="G50" s="1">
        <f t="shared" si="13"/>
        <v>1.466275E-2</v>
      </c>
      <c r="H50" s="1">
        <f t="shared" si="13"/>
        <v>1.47735E-2</v>
      </c>
      <c r="I50" s="1">
        <f t="shared" si="13"/>
        <v>1.4697029E-2</v>
      </c>
      <c r="M50" s="6">
        <v>1.5376584E-2</v>
      </c>
      <c r="N50" s="6">
        <v>1.5061064000000001E-2</v>
      </c>
      <c r="O50" s="6">
        <v>1.5079922000000001E-2</v>
      </c>
      <c r="P50" s="6">
        <v>1.5188978000000001E-2</v>
      </c>
      <c r="Q50" s="6">
        <v>1.5093535999999999E-2</v>
      </c>
      <c r="R50" s="6">
        <v>1.5197492999999999E-2</v>
      </c>
      <c r="S50" s="6">
        <v>1.5047131E-2</v>
      </c>
      <c r="T50" s="6">
        <v>1.5096561999999999E-2</v>
      </c>
    </row>
    <row r="51" spans="1:20" x14ac:dyDescent="0.25">
      <c r="A51">
        <v>100</v>
      </c>
      <c r="B51" s="1">
        <f t="shared" si="13"/>
        <v>1.4925163999999999E-2</v>
      </c>
      <c r="C51" s="1">
        <f t="shared" si="13"/>
        <v>1.490814E-2</v>
      </c>
      <c r="D51" s="1">
        <f t="shared" si="13"/>
        <v>1.4847898999999999E-2</v>
      </c>
      <c r="E51" s="1">
        <f t="shared" si="13"/>
        <v>1.4876749999999999E-2</v>
      </c>
      <c r="F51" s="1">
        <f t="shared" si="13"/>
        <v>1.4882256E-2</v>
      </c>
      <c r="G51" s="1">
        <f t="shared" si="13"/>
        <v>1.4855302000000001E-2</v>
      </c>
      <c r="H51" s="1">
        <f t="shared" si="13"/>
        <v>1.4888268E-2</v>
      </c>
      <c r="I51" s="1">
        <f t="shared" si="13"/>
        <v>1.4903115E-2</v>
      </c>
      <c r="M51" s="6">
        <v>1.5368214999999999E-2</v>
      </c>
      <c r="N51" s="6">
        <v>1.508789E-2</v>
      </c>
      <c r="O51" s="6">
        <v>1.5111299E-2</v>
      </c>
      <c r="P51" s="6">
        <v>1.5212384000000001E-2</v>
      </c>
      <c r="Q51" s="6">
        <v>1.5112672000000001E-2</v>
      </c>
      <c r="R51" s="6">
        <v>1.5215317000000001E-2</v>
      </c>
      <c r="S51" s="6">
        <v>1.5086145E-2</v>
      </c>
      <c r="T51" s="6">
        <v>1.5120635E-2</v>
      </c>
    </row>
    <row r="52" spans="1:20" x14ac:dyDescent="0.25">
      <c r="A52">
        <v>140</v>
      </c>
      <c r="B52" s="1">
        <f t="shared" si="13"/>
        <v>1.4766206E-2</v>
      </c>
      <c r="C52" s="1">
        <f t="shared" si="13"/>
        <v>1.4670516E-2</v>
      </c>
      <c r="D52" s="1">
        <f t="shared" si="13"/>
        <v>1.4656508E-2</v>
      </c>
      <c r="E52" s="1">
        <f t="shared" si="13"/>
        <v>1.4688618000000001E-2</v>
      </c>
      <c r="F52" s="1">
        <f t="shared" si="13"/>
        <v>1.4647568E-2</v>
      </c>
      <c r="G52" s="1">
        <f t="shared" si="13"/>
        <v>1.4706597E-2</v>
      </c>
      <c r="H52" s="1">
        <f t="shared" si="13"/>
        <v>1.4677529E-2</v>
      </c>
      <c r="I52" s="1">
        <f t="shared" si="13"/>
        <v>1.4668687E-2</v>
      </c>
      <c r="M52" s="6">
        <v>1.5399909E-2</v>
      </c>
      <c r="N52" s="6">
        <v>1.5244442E-2</v>
      </c>
      <c r="O52" s="6">
        <v>1.5247925000000001E-2</v>
      </c>
      <c r="P52" s="6">
        <v>1.5319309999999999E-2</v>
      </c>
      <c r="Q52" s="6">
        <v>1.524943E-2</v>
      </c>
      <c r="R52" s="6">
        <v>1.5309053E-2</v>
      </c>
      <c r="S52" s="6">
        <v>1.5255037000000001E-2</v>
      </c>
      <c r="T52" s="6">
        <v>1.5268432E-2</v>
      </c>
    </row>
    <row r="53" spans="1:20" x14ac:dyDescent="0.25">
      <c r="A53">
        <v>180</v>
      </c>
      <c r="B53" s="1">
        <f t="shared" si="13"/>
        <v>1.4539389999999999E-2</v>
      </c>
      <c r="C53" s="1">
        <f t="shared" si="13"/>
        <v>1.4393131E-2</v>
      </c>
      <c r="D53" s="1">
        <f t="shared" si="13"/>
        <v>1.4454369E-2</v>
      </c>
      <c r="E53" s="1">
        <f t="shared" si="13"/>
        <v>1.4580408E-2</v>
      </c>
      <c r="F53" s="1">
        <f t="shared" si="13"/>
        <v>1.4406587E-2</v>
      </c>
      <c r="G53" s="1">
        <f t="shared" si="13"/>
        <v>1.451565E-2</v>
      </c>
      <c r="H53" s="1">
        <f t="shared" si="13"/>
        <v>1.4451637999999999E-2</v>
      </c>
      <c r="I53" s="1">
        <f t="shared" si="13"/>
        <v>1.4554111999999999E-2</v>
      </c>
      <c r="M53" s="6">
        <v>1.5408434E-2</v>
      </c>
      <c r="N53" s="6">
        <v>1.5317936000000001E-2</v>
      </c>
      <c r="O53" s="6">
        <v>1.5318429E-2</v>
      </c>
      <c r="P53" s="6">
        <v>1.5362005E-2</v>
      </c>
      <c r="Q53" s="6">
        <v>1.5319121999999999E-2</v>
      </c>
      <c r="R53" s="6">
        <v>1.5354639999999999E-2</v>
      </c>
      <c r="S53" s="6">
        <v>1.5335807999999999E-2</v>
      </c>
      <c r="T53" s="6">
        <v>1.534428E-2</v>
      </c>
    </row>
    <row r="54" spans="1:20" x14ac:dyDescent="0.25">
      <c r="A54">
        <v>210</v>
      </c>
      <c r="B54" s="1">
        <f t="shared" si="13"/>
        <v>1.3876416000000001E-2</v>
      </c>
      <c r="C54" s="1">
        <f t="shared" si="13"/>
        <v>1.3730727999999999E-2</v>
      </c>
      <c r="D54" s="1">
        <f t="shared" si="13"/>
        <v>1.378098E-2</v>
      </c>
      <c r="E54" s="1">
        <f t="shared" si="13"/>
        <v>1.404476E-2</v>
      </c>
      <c r="F54" s="1">
        <f t="shared" si="13"/>
        <v>1.3730674E-2</v>
      </c>
      <c r="G54" s="1">
        <f t="shared" si="13"/>
        <v>1.3871333E-2</v>
      </c>
      <c r="H54" s="1">
        <f t="shared" si="13"/>
        <v>1.384909E-2</v>
      </c>
      <c r="I54" s="1">
        <f t="shared" si="13"/>
        <v>1.3953897999999999E-2</v>
      </c>
      <c r="M54" s="6">
        <v>1.5420224E-2</v>
      </c>
      <c r="N54" s="6">
        <v>1.5356537999999999E-2</v>
      </c>
      <c r="O54" s="6">
        <v>1.5353924E-2</v>
      </c>
      <c r="P54" s="6">
        <v>1.5384284999999999E-2</v>
      </c>
      <c r="Q54" s="6">
        <v>1.5356013999999999E-2</v>
      </c>
      <c r="R54" s="6">
        <v>1.5376562999999999E-2</v>
      </c>
      <c r="S54" s="6">
        <v>1.5371108E-2</v>
      </c>
      <c r="T54" s="6">
        <v>1.5375493E-2</v>
      </c>
    </row>
    <row r="55" spans="1:20" x14ac:dyDescent="0.25">
      <c r="A55">
        <v>250</v>
      </c>
      <c r="B55" s="1">
        <f t="shared" si="13"/>
        <v>1.127977E-2</v>
      </c>
      <c r="C55" s="1">
        <f t="shared" si="13"/>
        <v>1.1121809E-2</v>
      </c>
      <c r="D55" s="1">
        <f t="shared" si="13"/>
        <v>1.1278541E-2</v>
      </c>
      <c r="E55" s="1">
        <f t="shared" si="13"/>
        <v>1.1598567000000001E-2</v>
      </c>
      <c r="F55" s="1">
        <f t="shared" si="13"/>
        <v>1.12041E-2</v>
      </c>
      <c r="G55" s="1">
        <f t="shared" si="13"/>
        <v>1.1327940999999999E-2</v>
      </c>
      <c r="H55" s="1">
        <f t="shared" si="13"/>
        <v>1.1388987E-2</v>
      </c>
      <c r="I55" s="1">
        <f t="shared" si="13"/>
        <v>1.1515795000000001E-2</v>
      </c>
      <c r="M55" s="6">
        <v>1.5419894999999999E-2</v>
      </c>
      <c r="N55" s="6">
        <v>1.5366869999999999E-2</v>
      </c>
      <c r="O55" s="6">
        <v>1.5362082000000001E-2</v>
      </c>
      <c r="P55" s="6">
        <v>1.5388957E-2</v>
      </c>
      <c r="Q55" s="6">
        <v>1.5367093E-2</v>
      </c>
      <c r="R55" s="6">
        <v>1.5391864E-2</v>
      </c>
      <c r="S55" s="6">
        <v>1.5381381E-2</v>
      </c>
      <c r="T55" s="6">
        <v>1.5389238E-2</v>
      </c>
    </row>
    <row r="56" spans="1:20" x14ac:dyDescent="0.25">
      <c r="M56" s="6">
        <v>1.5434586E-2</v>
      </c>
      <c r="N56" s="6">
        <v>1.5390067E-2</v>
      </c>
      <c r="O56" s="6">
        <v>1.5389442999999999E-2</v>
      </c>
      <c r="P56" s="6">
        <v>1.5407472E-2</v>
      </c>
      <c r="Q56" s="6">
        <v>1.5389874E-2</v>
      </c>
      <c r="R56" s="6">
        <v>1.5408707000000001E-2</v>
      </c>
      <c r="S56" s="6">
        <v>1.5404196E-2</v>
      </c>
      <c r="T56" s="6">
        <v>1.5411829E-2</v>
      </c>
    </row>
    <row r="57" spans="1:20" x14ac:dyDescent="0.25">
      <c r="A57" s="5" t="s">
        <v>7</v>
      </c>
      <c r="B57" s="5"/>
      <c r="C57" s="5"/>
      <c r="D57" s="5"/>
      <c r="E57" s="5"/>
      <c r="F57" s="5"/>
      <c r="G57" s="5"/>
      <c r="H57" s="5"/>
      <c r="I57" s="5"/>
      <c r="M57" s="6">
        <v>4.9540217999999997E-2</v>
      </c>
      <c r="N57" s="6">
        <v>4.9637806E-2</v>
      </c>
      <c r="O57" s="6">
        <v>4.9648370999999997E-2</v>
      </c>
      <c r="P57" s="6">
        <v>4.9901268999999998E-2</v>
      </c>
      <c r="Q57" s="6">
        <v>4.9295380999999999E-2</v>
      </c>
      <c r="R57" s="6">
        <v>4.9923967999999999E-2</v>
      </c>
      <c r="S57" s="6">
        <v>4.9807835000000002E-2</v>
      </c>
      <c r="T57" s="6">
        <v>4.9401298000000003E-2</v>
      </c>
    </row>
    <row r="58" spans="1:20" x14ac:dyDescent="0.25">
      <c r="A58" t="s">
        <v>0</v>
      </c>
      <c r="B58">
        <v>1</v>
      </c>
      <c r="C58">
        <v>2</v>
      </c>
      <c r="D58">
        <v>3</v>
      </c>
      <c r="E58">
        <v>4</v>
      </c>
      <c r="F58">
        <v>5</v>
      </c>
      <c r="G58">
        <v>6</v>
      </c>
      <c r="H58">
        <v>7</v>
      </c>
      <c r="I58">
        <v>8</v>
      </c>
      <c r="M58" s="6">
        <v>6.8212852000000004E-2</v>
      </c>
      <c r="N58" s="6">
        <v>6.8477012000000004E-2</v>
      </c>
      <c r="O58" s="6">
        <v>6.8461551999999995E-2</v>
      </c>
      <c r="P58" s="6">
        <v>6.8622321E-2</v>
      </c>
      <c r="Q58" s="6">
        <v>6.8436555999999996E-2</v>
      </c>
      <c r="R58" s="6">
        <v>6.8514145999999998E-2</v>
      </c>
      <c r="S58" s="6">
        <v>6.8813345999999997E-2</v>
      </c>
      <c r="T58" s="6">
        <v>6.8445474000000006E-2</v>
      </c>
    </row>
    <row r="59" spans="1:20" x14ac:dyDescent="0.25">
      <c r="A59">
        <v>50</v>
      </c>
      <c r="B59" s="2">
        <f>20*LOG(((B48)*B$40)/(B37*(B$51)), 10)</f>
        <v>-3.6980910216122687</v>
      </c>
      <c r="C59" s="2">
        <f t="shared" ref="C59:I59" si="14">20*LOG(((C48)*C$40)/(C37*(C$51)), 10)</f>
        <v>-3.63317767823062</v>
      </c>
      <c r="D59" s="2">
        <f t="shared" si="14"/>
        <v>-3.5195624603742126</v>
      </c>
      <c r="E59" s="2">
        <f t="shared" si="14"/>
        <v>-3.5309827804767608</v>
      </c>
      <c r="F59" s="2">
        <f t="shared" si="14"/>
        <v>-3.633921722954903</v>
      </c>
      <c r="G59" s="2">
        <f t="shared" si="14"/>
        <v>-3.5398928249956256</v>
      </c>
      <c r="H59" s="2">
        <f t="shared" si="14"/>
        <v>-3.5366956739335449</v>
      </c>
      <c r="I59" s="2">
        <f t="shared" si="14"/>
        <v>-3.671521371546814</v>
      </c>
      <c r="M59" s="6">
        <v>7.3851809000000004E-2</v>
      </c>
      <c r="N59" s="6">
        <v>7.4448108999999998E-2</v>
      </c>
      <c r="O59" s="6">
        <v>7.4213736000000002E-2</v>
      </c>
      <c r="P59" s="6">
        <v>7.4221156999999996E-2</v>
      </c>
      <c r="Q59" s="6">
        <v>7.4111752000000003E-2</v>
      </c>
      <c r="R59" s="6">
        <v>7.4011266000000006E-2</v>
      </c>
      <c r="S59" s="6">
        <v>7.4454658000000007E-2</v>
      </c>
      <c r="T59" s="6">
        <v>7.4084647000000003E-2</v>
      </c>
    </row>
    <row r="60" spans="1:20" x14ac:dyDescent="0.25">
      <c r="A60">
        <v>60</v>
      </c>
      <c r="B60" s="2">
        <f t="shared" ref="B60:I60" si="15">20*LOG(((B49)*B$40)/(B38*(B$51)), 10)</f>
        <v>-0.87282327528582226</v>
      </c>
      <c r="C60" s="2">
        <f t="shared" si="15"/>
        <v>-0.67677627859035083</v>
      </c>
      <c r="D60" s="2">
        <f t="shared" si="15"/>
        <v>-0.69172653744626644</v>
      </c>
      <c r="E60" s="2">
        <f t="shared" si="15"/>
        <v>-0.71513099401081859</v>
      </c>
      <c r="F60" s="2">
        <f t="shared" si="15"/>
        <v>-0.75046817098444873</v>
      </c>
      <c r="G60" s="2">
        <f t="shared" si="15"/>
        <v>-0.73822839058796452</v>
      </c>
      <c r="H60" s="2">
        <f t="shared" si="15"/>
        <v>-0.6619587533027198</v>
      </c>
      <c r="I60" s="2">
        <f t="shared" si="15"/>
        <v>-0.69636753728764456</v>
      </c>
      <c r="M60" s="6">
        <v>7.4848792999999997E-2</v>
      </c>
      <c r="N60" s="6">
        <v>7.5100801999999994E-2</v>
      </c>
      <c r="O60" s="6">
        <v>7.4987634999999997E-2</v>
      </c>
      <c r="P60" s="6">
        <v>7.4915684999999996E-2</v>
      </c>
      <c r="Q60" s="6">
        <v>7.5086242999999997E-2</v>
      </c>
      <c r="R60" s="6">
        <v>7.4831612000000006E-2</v>
      </c>
      <c r="S60" s="6">
        <v>7.4999629999999998E-2</v>
      </c>
      <c r="T60" s="6">
        <v>7.4865936999999994E-2</v>
      </c>
    </row>
    <row r="61" spans="1:20" x14ac:dyDescent="0.25">
      <c r="A61">
        <v>70</v>
      </c>
      <c r="B61" s="2">
        <f t="shared" ref="B61:I61" si="16">20*LOG(((B50)*B$40)/(B39*(B$51)), 10)</f>
        <v>-0.14575434314041386</v>
      </c>
      <c r="C61" s="2">
        <f t="shared" si="16"/>
        <v>2.512237507926917E-2</v>
      </c>
      <c r="D61" s="2">
        <f t="shared" si="16"/>
        <v>-6.4822553784038136E-3</v>
      </c>
      <c r="E61" s="2">
        <f t="shared" si="16"/>
        <v>-5.7607709160747714E-2</v>
      </c>
      <c r="F61" s="2">
        <f t="shared" si="16"/>
        <v>-3.5284512205711716E-2</v>
      </c>
      <c r="G61" s="2">
        <f t="shared" si="16"/>
        <v>-5.4569283709857502E-2</v>
      </c>
      <c r="H61" s="2">
        <f t="shared" si="16"/>
        <v>3.239212937290132E-2</v>
      </c>
      <c r="I61" s="2">
        <f t="shared" si="16"/>
        <v>-2.8376748792804329E-2</v>
      </c>
      <c r="M61" s="6">
        <v>7.4073501E-2</v>
      </c>
      <c r="N61" s="6">
        <v>7.3739886000000004E-2</v>
      </c>
      <c r="O61" s="6">
        <v>7.3732017999999996E-2</v>
      </c>
      <c r="P61" s="6">
        <v>7.4109419999999995E-2</v>
      </c>
      <c r="Q61" s="6">
        <v>7.3733293000000005E-2</v>
      </c>
      <c r="R61" s="6">
        <v>7.3868430999999998E-2</v>
      </c>
      <c r="S61" s="6">
        <v>7.3617630000000003E-2</v>
      </c>
      <c r="T61" s="6">
        <v>7.3978594999999994E-2</v>
      </c>
    </row>
    <row r="62" spans="1:20" x14ac:dyDescent="0.25">
      <c r="A62">
        <v>100</v>
      </c>
      <c r="B62" s="2">
        <f t="shared" ref="B62:I62" si="17">20*LOG(((B51)*B$40)/(B40*(B$51)), 10)</f>
        <v>0</v>
      </c>
      <c r="C62" s="2">
        <f t="shared" si="17"/>
        <v>0</v>
      </c>
      <c r="D62" s="2">
        <f t="shared" si="17"/>
        <v>0</v>
      </c>
      <c r="E62" s="2">
        <f t="shared" si="17"/>
        <v>0</v>
      </c>
      <c r="F62" s="2">
        <f t="shared" si="17"/>
        <v>0</v>
      </c>
      <c r="G62" s="2">
        <f t="shared" si="17"/>
        <v>0</v>
      </c>
      <c r="H62" s="2">
        <f t="shared" si="17"/>
        <v>0</v>
      </c>
      <c r="I62" s="2">
        <f t="shared" si="17"/>
        <v>0</v>
      </c>
      <c r="M62" s="6">
        <v>7.2855771E-2</v>
      </c>
      <c r="N62" s="6">
        <v>7.2293072999999999E-2</v>
      </c>
      <c r="O62" s="6">
        <v>7.2535679000000006E-2</v>
      </c>
      <c r="P62" s="6">
        <v>7.3320642000000005E-2</v>
      </c>
      <c r="Q62" s="6">
        <v>7.2364739999999997E-2</v>
      </c>
      <c r="R62" s="6">
        <v>7.2964914000000006E-2</v>
      </c>
      <c r="S62" s="6">
        <v>7.2494417000000005E-2</v>
      </c>
      <c r="T62" s="6">
        <v>7.2973556999999994E-2</v>
      </c>
    </row>
    <row r="63" spans="1:20" x14ac:dyDescent="0.25">
      <c r="A63">
        <v>140</v>
      </c>
      <c r="B63" s="2">
        <f t="shared" ref="B63:I63" si="18">20*LOG(((B52)*B$40)/(B41*(B$51)), 10)</f>
        <v>-9.9562315739595564E-2</v>
      </c>
      <c r="C63" s="2">
        <f t="shared" si="18"/>
        <v>-0.18454717784804869</v>
      </c>
      <c r="D63" s="2">
        <f t="shared" si="18"/>
        <v>-0.1534965621188156</v>
      </c>
      <c r="E63" s="2">
        <f t="shared" si="18"/>
        <v>-0.1353656948555827</v>
      </c>
      <c r="F63" s="2">
        <f t="shared" si="18"/>
        <v>-0.18172670764775553</v>
      </c>
      <c r="G63" s="2">
        <f t="shared" si="18"/>
        <v>-0.11353588996866029</v>
      </c>
      <c r="H63" s="2">
        <f t="shared" si="18"/>
        <v>-0.17181649762953038</v>
      </c>
      <c r="I63" s="2">
        <f t="shared" si="18"/>
        <v>-0.18162702287941113</v>
      </c>
      <c r="M63" s="6">
        <v>6.9480291999999999E-2</v>
      </c>
      <c r="N63" s="6">
        <v>6.8796702000000001E-2</v>
      </c>
      <c r="O63" s="6">
        <v>6.9327644999999993E-2</v>
      </c>
      <c r="P63" s="6">
        <v>7.0328526000000002E-2</v>
      </c>
      <c r="Q63" s="6">
        <v>6.9095232000000006E-2</v>
      </c>
      <c r="R63" s="6">
        <v>6.9613330000000001E-2</v>
      </c>
      <c r="S63" s="6">
        <v>6.9358185000000003E-2</v>
      </c>
      <c r="T63" s="6">
        <v>6.9980472000000002E-2</v>
      </c>
    </row>
    <row r="64" spans="1:20" x14ac:dyDescent="0.25">
      <c r="A64">
        <v>180</v>
      </c>
      <c r="B64" s="2">
        <f t="shared" ref="B64:I64" si="19">20*LOG(((B53)*B$40)/(B42*(B$51)), 10)</f>
        <v>-0.23897968394121738</v>
      </c>
      <c r="C64" s="2">
        <f t="shared" si="19"/>
        <v>-0.36893275645620427</v>
      </c>
      <c r="D64" s="2">
        <f t="shared" si="19"/>
        <v>-0.29287159892476944</v>
      </c>
      <c r="E64" s="2">
        <f t="shared" si="19"/>
        <v>-0.20952117793528841</v>
      </c>
      <c r="F64" s="2">
        <f t="shared" si="19"/>
        <v>-0.34395378368504392</v>
      </c>
      <c r="G64" s="2">
        <f t="shared" si="19"/>
        <v>-0.24082724378657663</v>
      </c>
      <c r="H64" s="2">
        <f t="shared" si="19"/>
        <v>-0.32744078021360401</v>
      </c>
      <c r="I64" s="2">
        <f t="shared" si="19"/>
        <v>-0.26787828323755325</v>
      </c>
      <c r="M64" s="6">
        <v>5.6386000999999998E-2</v>
      </c>
      <c r="N64" s="6">
        <v>5.5701266999999999E-2</v>
      </c>
      <c r="O64" s="6">
        <v>5.6465998000000003E-2</v>
      </c>
      <c r="P64" s="6">
        <v>5.8106456000000001E-2</v>
      </c>
      <c r="Q64" s="6">
        <v>5.6130592E-2</v>
      </c>
      <c r="R64" s="6">
        <v>5.6656115E-2</v>
      </c>
      <c r="S64" s="6">
        <v>5.6843578999999998E-2</v>
      </c>
      <c r="T64" s="6">
        <v>5.7500194999999997E-2</v>
      </c>
    </row>
    <row r="65" spans="1:9" x14ac:dyDescent="0.25">
      <c r="A65">
        <v>210</v>
      </c>
      <c r="B65" s="2">
        <f t="shared" ref="B65:I65" si="20">20*LOG(((B54)*B$40)/(B43*(B$51)), 10)</f>
        <v>-0.64430317265970904</v>
      </c>
      <c r="C65" s="2">
        <f t="shared" si="20"/>
        <v>-0.78508307491504226</v>
      </c>
      <c r="D65" s="2">
        <f t="shared" si="20"/>
        <v>-0.71671339726616667</v>
      </c>
      <c r="E65" s="2">
        <f t="shared" si="20"/>
        <v>-0.54055732631082476</v>
      </c>
      <c r="F65" s="2">
        <f t="shared" si="20"/>
        <v>-0.77007357042859015</v>
      </c>
      <c r="G65" s="2">
        <f t="shared" si="20"/>
        <v>-0.64212423593933909</v>
      </c>
      <c r="H65" s="2">
        <f t="shared" si="20"/>
        <v>-0.70392426653946005</v>
      </c>
      <c r="I65" s="2">
        <f t="shared" si="20"/>
        <v>-0.64104548330058131</v>
      </c>
    </row>
    <row r="66" spans="1:9" x14ac:dyDescent="0.25">
      <c r="A66">
        <v>250</v>
      </c>
      <c r="B66" s="2">
        <f t="shared" ref="B66:I66" si="21">20*LOG(((B55)*B$40)/(B44*(B$51)), 10)</f>
        <v>-2.4530312874357705</v>
      </c>
      <c r="C66" s="2">
        <f t="shared" si="21"/>
        <v>-2.6296259747106059</v>
      </c>
      <c r="D66" s="2">
        <f t="shared" si="21"/>
        <v>-2.4697402322349356</v>
      </c>
      <c r="E66" s="2">
        <f t="shared" si="21"/>
        <v>-2.2124828821942129</v>
      </c>
      <c r="F66" s="2">
        <f t="shared" si="21"/>
        <v>-2.5496663206052301</v>
      </c>
      <c r="G66" s="2">
        <f t="shared" si="21"/>
        <v>-2.4115349555571464</v>
      </c>
      <c r="H66" s="2">
        <f t="shared" si="21"/>
        <v>-2.4168879619286261</v>
      </c>
      <c r="I66" s="2">
        <f t="shared" si="21"/>
        <v>-2.3208882225237479</v>
      </c>
    </row>
    <row r="68" spans="1:9" x14ac:dyDescent="0.25">
      <c r="A68" s="4" t="s">
        <v>8</v>
      </c>
      <c r="B68" s="4"/>
      <c r="C68" s="4"/>
      <c r="D68" s="4"/>
      <c r="E68" s="4"/>
      <c r="F68" s="4"/>
      <c r="G68" s="4"/>
      <c r="H68" s="4"/>
      <c r="I68" s="4"/>
    </row>
    <row r="69" spans="1:9" x14ac:dyDescent="0.25">
      <c r="A69" t="s">
        <v>1</v>
      </c>
      <c r="B69">
        <v>1</v>
      </c>
      <c r="C69">
        <v>2</v>
      </c>
      <c r="D69">
        <v>3</v>
      </c>
      <c r="E69">
        <v>4</v>
      </c>
      <c r="F69">
        <v>5</v>
      </c>
      <c r="G69">
        <v>6</v>
      </c>
      <c r="H69">
        <v>7</v>
      </c>
      <c r="I69">
        <v>8</v>
      </c>
    </row>
    <row r="70" spans="1:9" x14ac:dyDescent="0.25">
      <c r="A70">
        <v>50</v>
      </c>
      <c r="B70" s="1">
        <f>M33</f>
        <v>1.5456351E-2</v>
      </c>
      <c r="C70" s="1">
        <f t="shared" ref="C70:I70" si="22">N33</f>
        <v>1.5186470000000001E-2</v>
      </c>
      <c r="D70" s="1">
        <f t="shared" si="22"/>
        <v>1.5170253E-2</v>
      </c>
      <c r="E70" s="1">
        <f t="shared" si="22"/>
        <v>1.5258571E-2</v>
      </c>
      <c r="F70" s="1">
        <f t="shared" si="22"/>
        <v>1.5220925E-2</v>
      </c>
      <c r="G70" s="1">
        <f t="shared" si="22"/>
        <v>1.5265224000000001E-2</v>
      </c>
      <c r="H70" s="1">
        <f t="shared" si="22"/>
        <v>1.5154994999999999E-2</v>
      </c>
      <c r="I70" s="1">
        <f t="shared" si="22"/>
        <v>1.5214017999999999E-2</v>
      </c>
    </row>
    <row r="71" spans="1:9" x14ac:dyDescent="0.25">
      <c r="A71">
        <v>60</v>
      </c>
      <c r="B71" s="1">
        <f t="shared" ref="B71:B77" si="23">M34</f>
        <v>1.5379199E-2</v>
      </c>
      <c r="C71" s="1">
        <f t="shared" ref="C71:C77" si="24">N34</f>
        <v>1.5056742E-2</v>
      </c>
      <c r="D71" s="1">
        <f t="shared" ref="D71:D77" si="25">O34</f>
        <v>1.5084901E-2</v>
      </c>
      <c r="E71" s="1">
        <f t="shared" ref="E71:E77" si="26">P34</f>
        <v>1.5190164000000001E-2</v>
      </c>
      <c r="F71" s="1">
        <f t="shared" ref="F71:F77" si="27">Q34</f>
        <v>1.5094196000000001E-2</v>
      </c>
      <c r="G71" s="1">
        <f t="shared" ref="G71:G77" si="28">R34</f>
        <v>1.5195800000000001E-2</v>
      </c>
      <c r="H71" s="1">
        <f t="shared" ref="H71:H77" si="29">S34</f>
        <v>1.504753E-2</v>
      </c>
      <c r="I71" s="1">
        <f t="shared" ref="I71:I77" si="30">T34</f>
        <v>1.5094394000000001E-2</v>
      </c>
    </row>
    <row r="72" spans="1:9" x14ac:dyDescent="0.25">
      <c r="A72">
        <v>70</v>
      </c>
      <c r="B72" s="1">
        <f t="shared" si="23"/>
        <v>1.5373443000000001E-2</v>
      </c>
      <c r="C72" s="1">
        <f t="shared" si="24"/>
        <v>1.5092080000000001E-2</v>
      </c>
      <c r="D72" s="1">
        <f t="shared" si="25"/>
        <v>1.5114818E-2</v>
      </c>
      <c r="E72" s="1">
        <f t="shared" si="26"/>
        <v>1.5218784000000001E-2</v>
      </c>
      <c r="F72" s="1">
        <f t="shared" si="27"/>
        <v>1.5115544E-2</v>
      </c>
      <c r="G72" s="1">
        <f t="shared" si="28"/>
        <v>1.5218046000000001E-2</v>
      </c>
      <c r="H72" s="1">
        <f t="shared" si="29"/>
        <v>1.5087816E-2</v>
      </c>
      <c r="I72" s="1">
        <f t="shared" si="30"/>
        <v>1.5121875E-2</v>
      </c>
    </row>
    <row r="73" spans="1:9" x14ac:dyDescent="0.25">
      <c r="A73">
        <v>100</v>
      </c>
      <c r="B73" s="1">
        <f t="shared" si="23"/>
        <v>1.5406510999999999E-2</v>
      </c>
      <c r="C73" s="1">
        <f t="shared" si="24"/>
        <v>1.5250400000000001E-2</v>
      </c>
      <c r="D73" s="1">
        <f t="shared" si="25"/>
        <v>1.5250825000000001E-2</v>
      </c>
      <c r="E73" s="1">
        <f t="shared" si="26"/>
        <v>1.5326559E-2</v>
      </c>
      <c r="F73" s="1">
        <f t="shared" si="27"/>
        <v>1.5252496000000001E-2</v>
      </c>
      <c r="G73" s="1">
        <f t="shared" si="28"/>
        <v>1.5317608E-2</v>
      </c>
      <c r="H73" s="1">
        <f t="shared" si="29"/>
        <v>1.5258776E-2</v>
      </c>
      <c r="I73" s="1">
        <f t="shared" si="30"/>
        <v>1.5274411E-2</v>
      </c>
    </row>
    <row r="74" spans="1:9" x14ac:dyDescent="0.25">
      <c r="A74">
        <v>140</v>
      </c>
      <c r="B74" s="1">
        <f t="shared" si="23"/>
        <v>1.5417923E-2</v>
      </c>
      <c r="C74" s="1">
        <f t="shared" si="24"/>
        <v>1.5326576999999999E-2</v>
      </c>
      <c r="D74" s="1">
        <f t="shared" si="25"/>
        <v>1.5325893E-2</v>
      </c>
      <c r="E74" s="1">
        <f t="shared" si="26"/>
        <v>1.5367877E-2</v>
      </c>
      <c r="F74" s="1">
        <f t="shared" si="27"/>
        <v>1.5325834E-2</v>
      </c>
      <c r="G74" s="1">
        <f t="shared" si="28"/>
        <v>1.5358261E-2</v>
      </c>
      <c r="H74" s="1">
        <f t="shared" si="29"/>
        <v>1.5337750000000001E-2</v>
      </c>
      <c r="I74" s="1">
        <f t="shared" si="30"/>
        <v>1.5349091E-2</v>
      </c>
    </row>
    <row r="75" spans="1:9" x14ac:dyDescent="0.25">
      <c r="A75">
        <v>180</v>
      </c>
      <c r="B75" s="1">
        <f t="shared" si="23"/>
        <v>1.5422623999999999E-2</v>
      </c>
      <c r="C75" s="1">
        <f t="shared" si="24"/>
        <v>1.5359256999999999E-2</v>
      </c>
      <c r="D75" s="1">
        <f t="shared" si="25"/>
        <v>1.5359533E-2</v>
      </c>
      <c r="E75" s="1">
        <f t="shared" si="26"/>
        <v>1.5389976E-2</v>
      </c>
      <c r="F75" s="1">
        <f t="shared" si="27"/>
        <v>1.5360478E-2</v>
      </c>
      <c r="G75" s="1">
        <f t="shared" si="28"/>
        <v>1.5382511E-2</v>
      </c>
      <c r="H75" s="1">
        <f t="shared" si="29"/>
        <v>1.5375088E-2</v>
      </c>
      <c r="I75" s="1">
        <f t="shared" si="30"/>
        <v>1.5383152000000001E-2</v>
      </c>
    </row>
    <row r="76" spans="1:9" x14ac:dyDescent="0.25">
      <c r="A76">
        <v>210</v>
      </c>
      <c r="B76" s="1">
        <f t="shared" si="23"/>
        <v>1.5426034999999999E-2</v>
      </c>
      <c r="C76" s="1">
        <f t="shared" si="24"/>
        <v>1.5373392E-2</v>
      </c>
      <c r="D76" s="1">
        <f t="shared" si="25"/>
        <v>1.5372200000000001E-2</v>
      </c>
      <c r="E76" s="1">
        <f t="shared" si="26"/>
        <v>1.5396236000000001E-2</v>
      </c>
      <c r="F76" s="1">
        <f t="shared" si="27"/>
        <v>1.5369041999999999E-2</v>
      </c>
      <c r="G76" s="1">
        <f t="shared" si="28"/>
        <v>1.5391066E-2</v>
      </c>
      <c r="H76" s="1">
        <f t="shared" si="29"/>
        <v>1.5389130000000001E-2</v>
      </c>
      <c r="I76" s="1">
        <f t="shared" si="30"/>
        <v>1.5398926E-2</v>
      </c>
    </row>
    <row r="77" spans="1:9" x14ac:dyDescent="0.25">
      <c r="A77">
        <v>250</v>
      </c>
      <c r="B77" s="1">
        <f t="shared" si="23"/>
        <v>1.5442566E-2</v>
      </c>
      <c r="C77" s="1">
        <f t="shared" si="24"/>
        <v>1.5396356E-2</v>
      </c>
      <c r="D77" s="1">
        <f t="shared" si="25"/>
        <v>1.5397286E-2</v>
      </c>
      <c r="E77" s="1">
        <f t="shared" si="26"/>
        <v>1.5415491999999999E-2</v>
      </c>
      <c r="F77" s="1">
        <f t="shared" si="27"/>
        <v>1.5393258999999999E-2</v>
      </c>
      <c r="G77" s="1">
        <f t="shared" si="28"/>
        <v>1.5412945000000001E-2</v>
      </c>
      <c r="H77" s="1">
        <f t="shared" si="29"/>
        <v>1.5411213999999999E-2</v>
      </c>
      <c r="I77" s="1">
        <f t="shared" si="30"/>
        <v>1.5420672E-2</v>
      </c>
    </row>
    <row r="79" spans="1:9" x14ac:dyDescent="0.25">
      <c r="A79" s="4" t="s">
        <v>9</v>
      </c>
      <c r="B79" s="4"/>
      <c r="C79" s="4"/>
      <c r="D79" s="4"/>
      <c r="E79" s="4"/>
      <c r="F79" s="4"/>
      <c r="G79" s="4"/>
      <c r="H79" s="4"/>
      <c r="I79" s="4"/>
    </row>
    <row r="80" spans="1:9" x14ac:dyDescent="0.25">
      <c r="A80" t="s">
        <v>1</v>
      </c>
      <c r="B80">
        <v>1</v>
      </c>
      <c r="C80">
        <v>2</v>
      </c>
      <c r="D80">
        <v>3</v>
      </c>
      <c r="E80">
        <v>4</v>
      </c>
      <c r="F80">
        <v>5</v>
      </c>
      <c r="G80">
        <v>6</v>
      </c>
      <c r="H80">
        <v>7</v>
      </c>
      <c r="I80">
        <v>8</v>
      </c>
    </row>
    <row r="81" spans="1:9" x14ac:dyDescent="0.25">
      <c r="A81">
        <v>50</v>
      </c>
      <c r="B81" s="1">
        <f>M41</f>
        <v>4.8893674999999998E-2</v>
      </c>
      <c r="C81" s="1">
        <f t="shared" ref="C81:I81" si="31">N41</f>
        <v>4.8400595999999997E-2</v>
      </c>
      <c r="D81" s="1">
        <f t="shared" si="31"/>
        <v>4.8553981000000003E-2</v>
      </c>
      <c r="E81" s="1">
        <f t="shared" si="31"/>
        <v>4.8901728999999998E-2</v>
      </c>
      <c r="F81" s="1">
        <f t="shared" si="31"/>
        <v>4.8554952999999998E-2</v>
      </c>
      <c r="G81" s="1">
        <f t="shared" si="31"/>
        <v>4.8802707000000001E-2</v>
      </c>
      <c r="H81" s="1">
        <f t="shared" si="31"/>
        <v>4.8563343000000002E-2</v>
      </c>
      <c r="I81" s="1">
        <f t="shared" si="31"/>
        <v>4.8299680999999997E-2</v>
      </c>
    </row>
    <row r="82" spans="1:9" x14ac:dyDescent="0.25">
      <c r="A82">
        <v>60</v>
      </c>
      <c r="B82" s="1">
        <f t="shared" ref="B82:B88" si="32">M42</f>
        <v>6.7720040999999995E-2</v>
      </c>
      <c r="C82" s="1">
        <f t="shared" ref="C82:C88" si="33">N42</f>
        <v>6.7619525E-2</v>
      </c>
      <c r="D82" s="1">
        <f t="shared" ref="D82:D88" si="34">O42</f>
        <v>6.7129247000000003E-2</v>
      </c>
      <c r="E82" s="1">
        <f t="shared" ref="E82:E88" si="35">P42</f>
        <v>6.7505783999999999E-2</v>
      </c>
      <c r="F82" s="1">
        <f t="shared" ref="F82:F88" si="36">Q42</f>
        <v>6.7328595000000005E-2</v>
      </c>
      <c r="G82" s="1">
        <f t="shared" ref="G82:G88" si="37">R42</f>
        <v>6.7247323999999997E-2</v>
      </c>
      <c r="H82" s="1">
        <f t="shared" ref="H82:H88" si="38">S42</f>
        <v>6.7851111000000006E-2</v>
      </c>
      <c r="I82" s="1">
        <f t="shared" ref="I82:I88" si="39">T42</f>
        <v>6.7479364999999999E-2</v>
      </c>
    </row>
    <row r="83" spans="1:9" x14ac:dyDescent="0.25">
      <c r="A83">
        <v>70</v>
      </c>
      <c r="B83" s="1">
        <f t="shared" si="32"/>
        <v>7.3252185999999997E-2</v>
      </c>
      <c r="C83" s="1">
        <f t="shared" si="33"/>
        <v>7.3296040000000007E-2</v>
      </c>
      <c r="D83" s="1">
        <f t="shared" si="34"/>
        <v>7.2994805999999995E-2</v>
      </c>
      <c r="E83" s="1">
        <f t="shared" si="35"/>
        <v>7.3272466999999994E-2</v>
      </c>
      <c r="F83" s="1">
        <f t="shared" si="36"/>
        <v>7.2891787E-2</v>
      </c>
      <c r="G83" s="1">
        <f t="shared" si="37"/>
        <v>7.2940654999999993E-2</v>
      </c>
      <c r="H83" s="1">
        <f t="shared" si="38"/>
        <v>7.3257751999999995E-2</v>
      </c>
      <c r="I83" s="1">
        <f t="shared" si="39"/>
        <v>7.3206119E-2</v>
      </c>
    </row>
    <row r="84" spans="1:9" x14ac:dyDescent="0.25">
      <c r="A84">
        <v>100</v>
      </c>
      <c r="B84" s="1">
        <f t="shared" si="32"/>
        <v>7.4525810999999997E-2</v>
      </c>
      <c r="C84" s="1">
        <f t="shared" si="33"/>
        <v>7.3929942999999998E-2</v>
      </c>
      <c r="D84" s="1">
        <f t="shared" si="34"/>
        <v>7.3795400999999997E-2</v>
      </c>
      <c r="E84" s="1">
        <f t="shared" si="35"/>
        <v>7.4281535999999995E-2</v>
      </c>
      <c r="F84" s="1">
        <f t="shared" si="36"/>
        <v>7.3930033000000006E-2</v>
      </c>
      <c r="G84" s="1">
        <f t="shared" si="37"/>
        <v>7.3860325000000004E-2</v>
      </c>
      <c r="H84" s="1">
        <f t="shared" si="38"/>
        <v>7.3983974999999993E-2</v>
      </c>
      <c r="I84" s="1">
        <f t="shared" si="39"/>
        <v>7.4154221000000006E-2</v>
      </c>
    </row>
    <row r="85" spans="1:9" x14ac:dyDescent="0.25">
      <c r="A85">
        <v>140</v>
      </c>
      <c r="B85" s="1">
        <f t="shared" si="32"/>
        <v>7.4060424999999999E-2</v>
      </c>
      <c r="C85" s="1">
        <f t="shared" si="33"/>
        <v>7.2829335999999995E-2</v>
      </c>
      <c r="D85" s="1">
        <f t="shared" si="34"/>
        <v>7.2868265000000002E-2</v>
      </c>
      <c r="E85" s="1">
        <f t="shared" si="35"/>
        <v>7.3500827000000005E-2</v>
      </c>
      <c r="F85" s="1">
        <f t="shared" si="36"/>
        <v>7.2823256000000003E-2</v>
      </c>
      <c r="G85" s="1">
        <f t="shared" si="37"/>
        <v>7.3190346000000003E-2</v>
      </c>
      <c r="H85" s="1">
        <f t="shared" si="38"/>
        <v>7.2956398000000006E-2</v>
      </c>
      <c r="I85" s="1">
        <f t="shared" si="39"/>
        <v>7.3363669000000006E-2</v>
      </c>
    </row>
    <row r="86" spans="1:9" x14ac:dyDescent="0.25">
      <c r="A86">
        <v>180</v>
      </c>
      <c r="B86" s="1">
        <f t="shared" si="32"/>
        <v>7.3310606E-2</v>
      </c>
      <c r="C86" s="1">
        <f t="shared" si="33"/>
        <v>7.1946762999999997E-2</v>
      </c>
      <c r="D86" s="1">
        <f t="shared" si="34"/>
        <v>7.2069384E-2</v>
      </c>
      <c r="E86" s="1">
        <f t="shared" si="35"/>
        <v>7.3216870000000003E-2</v>
      </c>
      <c r="F86" s="1">
        <f t="shared" si="36"/>
        <v>7.2059235999999999E-2</v>
      </c>
      <c r="G86" s="1">
        <f t="shared" si="37"/>
        <v>7.2695039000000003E-2</v>
      </c>
      <c r="H86" s="1">
        <f t="shared" si="38"/>
        <v>7.2240911000000005E-2</v>
      </c>
      <c r="I86" s="1">
        <f t="shared" si="39"/>
        <v>7.2916083000000007E-2</v>
      </c>
    </row>
    <row r="87" spans="1:9" x14ac:dyDescent="0.25">
      <c r="A87">
        <v>210</v>
      </c>
      <c r="B87" s="1">
        <f t="shared" si="32"/>
        <v>7.0239446999999997E-2</v>
      </c>
      <c r="C87" s="1">
        <f t="shared" si="33"/>
        <v>6.8778678999999995E-2</v>
      </c>
      <c r="D87" s="1">
        <f t="shared" si="34"/>
        <v>6.9237999999999994E-2</v>
      </c>
      <c r="E87" s="1">
        <f t="shared" si="35"/>
        <v>7.0637718000000002E-2</v>
      </c>
      <c r="F87" s="1">
        <f t="shared" si="36"/>
        <v>6.9006965000000003E-2</v>
      </c>
      <c r="G87" s="1">
        <f t="shared" si="37"/>
        <v>6.9739640000000006E-2</v>
      </c>
      <c r="H87" s="1">
        <f t="shared" si="38"/>
        <v>6.9361254999999997E-2</v>
      </c>
      <c r="I87" s="1">
        <f t="shared" si="39"/>
        <v>7.0175751999999994E-2</v>
      </c>
    </row>
    <row r="88" spans="1:9" x14ac:dyDescent="0.25">
      <c r="A88">
        <v>250</v>
      </c>
      <c r="B88" s="1">
        <f t="shared" si="32"/>
        <v>5.7371872999999997E-2</v>
      </c>
      <c r="C88" s="1">
        <f t="shared" si="33"/>
        <v>5.6134224000000003E-2</v>
      </c>
      <c r="D88" s="1">
        <f t="shared" si="34"/>
        <v>5.6891110000000002E-2</v>
      </c>
      <c r="E88" s="1">
        <f t="shared" si="35"/>
        <v>5.8820426000000002E-2</v>
      </c>
      <c r="F88" s="1">
        <f t="shared" si="36"/>
        <v>5.6537110000000002E-2</v>
      </c>
      <c r="G88" s="1">
        <f t="shared" si="37"/>
        <v>5.7187389999999998E-2</v>
      </c>
      <c r="H88" s="1">
        <f t="shared" si="38"/>
        <v>5.7378247E-2</v>
      </c>
      <c r="I88" s="1">
        <f t="shared" si="39"/>
        <v>5.8160684999999997E-2</v>
      </c>
    </row>
    <row r="90" spans="1:9" x14ac:dyDescent="0.25">
      <c r="A90" s="5" t="s">
        <v>10</v>
      </c>
      <c r="B90" s="5"/>
      <c r="C90" s="5"/>
      <c r="D90" s="5"/>
      <c r="E90" s="5"/>
      <c r="F90" s="5"/>
      <c r="G90" s="5"/>
      <c r="H90" s="5"/>
      <c r="I90" s="5"/>
    </row>
    <row r="91" spans="1:9" x14ac:dyDescent="0.25">
      <c r="A91" t="s">
        <v>0</v>
      </c>
      <c r="B91">
        <v>1</v>
      </c>
      <c r="C91">
        <v>2</v>
      </c>
      <c r="D91">
        <v>3</v>
      </c>
      <c r="E91">
        <v>4</v>
      </c>
      <c r="F91">
        <v>5</v>
      </c>
      <c r="G91">
        <v>6</v>
      </c>
      <c r="H91">
        <v>7</v>
      </c>
      <c r="I91">
        <v>8</v>
      </c>
    </row>
    <row r="92" spans="1:9" x14ac:dyDescent="0.25">
      <c r="A92">
        <v>50</v>
      </c>
      <c r="B92" s="2">
        <f>20*LOG(((B81/5)*B$73)/(B70*(B$84/5)), 10)</f>
        <v>-3.6891340528825909</v>
      </c>
      <c r="C92" s="2">
        <f t="shared" ref="C92:I92" si="40">20*LOG(((C81/5)*C$73)/(C70*(C$84/5)), 10)</f>
        <v>-3.6429052702734128</v>
      </c>
      <c r="D92" s="2">
        <f t="shared" si="40"/>
        <v>-3.5900787810789625</v>
      </c>
      <c r="E92" s="2">
        <f t="shared" si="40"/>
        <v>-3.5925172487574679</v>
      </c>
      <c r="F92" s="2">
        <f t="shared" si="40"/>
        <v>-3.6337497643784462</v>
      </c>
      <c r="G92" s="2">
        <f t="shared" si="40"/>
        <v>-3.5695906489463964</v>
      </c>
      <c r="H92" s="2">
        <f t="shared" si="40"/>
        <v>-3.5973037222666071</v>
      </c>
      <c r="I92" s="2">
        <f t="shared" si="40"/>
        <v>-3.6894213590209581</v>
      </c>
    </row>
    <row r="93" spans="1:9" x14ac:dyDescent="0.25">
      <c r="A93">
        <v>60</v>
      </c>
      <c r="B93" s="2">
        <f t="shared" ref="B93:I93" si="41">20*LOG(((B82/5)*B$73)/(B71*(B$84/5)), 10)</f>
        <v>-0.81637833205311994</v>
      </c>
      <c r="C93" s="2">
        <f t="shared" si="41"/>
        <v>-0.66396059094300885</v>
      </c>
      <c r="D93" s="2">
        <f t="shared" si="41"/>
        <v>-0.72733296005432446</v>
      </c>
      <c r="E93" s="2">
        <f t="shared" si="41"/>
        <v>-0.75315382896561045</v>
      </c>
      <c r="F93" s="2">
        <f t="shared" si="41"/>
        <v>-0.72180827105102974</v>
      </c>
      <c r="G93" s="2">
        <f t="shared" si="41"/>
        <v>-0.74537650358771079</v>
      </c>
      <c r="H93" s="2">
        <f t="shared" si="41"/>
        <v>-0.63052436673401879</v>
      </c>
      <c r="I93" s="2">
        <f t="shared" si="41"/>
        <v>-0.71632198924392643</v>
      </c>
    </row>
    <row r="94" spans="1:9" x14ac:dyDescent="0.25">
      <c r="A94">
        <v>70</v>
      </c>
      <c r="B94" s="2">
        <f t="shared" ref="B94:I94" si="42">20*LOG(((B83/5)*B$73)/(B72*(B$84/5)), 10)</f>
        <v>-0.1310592980541696</v>
      </c>
      <c r="C94" s="2">
        <f t="shared" si="42"/>
        <v>1.5845526152597406E-2</v>
      </c>
      <c r="D94" s="2">
        <f t="shared" si="42"/>
        <v>-1.6938456298792346E-2</v>
      </c>
      <c r="E94" s="2">
        <f t="shared" si="42"/>
        <v>-5.7507066553697445E-2</v>
      </c>
      <c r="F94" s="2">
        <f t="shared" si="42"/>
        <v>-4.4503293226553095E-2</v>
      </c>
      <c r="G94" s="2">
        <f t="shared" si="42"/>
        <v>-5.2189936086409816E-2</v>
      </c>
      <c r="H94" s="2">
        <f t="shared" si="42"/>
        <v>1.2184897752901727E-2</v>
      </c>
      <c r="I94" s="2">
        <f t="shared" si="42"/>
        <v>-2.459329887802017E-2</v>
      </c>
    </row>
    <row r="95" spans="1:9" x14ac:dyDescent="0.25">
      <c r="A95">
        <v>100</v>
      </c>
      <c r="B95" s="2">
        <f t="shared" ref="B95:I95" si="43">20*LOG(((B84/5)*B$73)/(B73*(B$84/5)), 10)</f>
        <v>0</v>
      </c>
      <c r="C95" s="2">
        <f t="shared" si="43"/>
        <v>0</v>
      </c>
      <c r="D95" s="2">
        <f t="shared" si="43"/>
        <v>0</v>
      </c>
      <c r="E95" s="2">
        <f t="shared" si="43"/>
        <v>0</v>
      </c>
      <c r="F95" s="2">
        <f t="shared" si="43"/>
        <v>0</v>
      </c>
      <c r="G95" s="2">
        <f t="shared" si="43"/>
        <v>0</v>
      </c>
      <c r="H95" s="2">
        <f t="shared" si="43"/>
        <v>0</v>
      </c>
      <c r="I95" s="2">
        <f t="shared" si="43"/>
        <v>0</v>
      </c>
    </row>
    <row r="96" spans="1:9" x14ac:dyDescent="0.25">
      <c r="A96">
        <v>140</v>
      </c>
      <c r="B96" s="2">
        <f t="shared" ref="B96:I96" si="44">20*LOG(((B85/5)*B$73)/(B74*(B$84/5)), 10)</f>
        <v>-6.0841697509282644E-2</v>
      </c>
      <c r="C96" s="2">
        <f t="shared" si="44"/>
        <v>-0.17355914989785776</v>
      </c>
      <c r="D96" s="2">
        <f t="shared" si="44"/>
        <v>-0.15246638869571233</v>
      </c>
      <c r="E96" s="2">
        <f t="shared" si="44"/>
        <v>-0.11515728917063225</v>
      </c>
      <c r="F96" s="2">
        <f t="shared" si="44"/>
        <v>-0.17268009499094422</v>
      </c>
      <c r="G96" s="2">
        <f t="shared" si="44"/>
        <v>-0.10217013439304393</v>
      </c>
      <c r="H96" s="2">
        <f t="shared" si="44"/>
        <v>-0.1663246896651224</v>
      </c>
      <c r="I96" s="2">
        <f t="shared" si="44"/>
        <v>-0.13546045526462047</v>
      </c>
    </row>
    <row r="97" spans="1:9" x14ac:dyDescent="0.25">
      <c r="A97">
        <v>180</v>
      </c>
      <c r="B97" s="2">
        <f t="shared" ref="B97:I97" si="45">20*LOG(((B86/5)*B$73)/(B75*(B$84/5)), 10)</f>
        <v>-0.15187747318385247</v>
      </c>
      <c r="C97" s="2">
        <f t="shared" si="45"/>
        <v>-0.29796169413545126</v>
      </c>
      <c r="D97" s="2">
        <f t="shared" si="45"/>
        <v>-0.2672632137824536</v>
      </c>
      <c r="E97" s="2">
        <f t="shared" si="45"/>
        <v>-0.16125995510145749</v>
      </c>
      <c r="F97" s="2">
        <f t="shared" si="45"/>
        <v>-0.28390115339424138</v>
      </c>
      <c r="G97" s="2">
        <f t="shared" si="45"/>
        <v>-0.17485447291505984</v>
      </c>
      <c r="H97" s="2">
        <f t="shared" si="45"/>
        <v>-0.2730471967009343</v>
      </c>
      <c r="I97" s="2">
        <f t="shared" si="45"/>
        <v>-0.207868106228773</v>
      </c>
    </row>
    <row r="98" spans="1:9" x14ac:dyDescent="0.25">
      <c r="A98">
        <v>210</v>
      </c>
      <c r="B98" s="2">
        <f t="shared" ref="B98:I98" si="46">20*LOG(((B87/5)*B$73)/(B76*(B$84/5)), 10)</f>
        <v>-0.52551282282004774</v>
      </c>
      <c r="C98" s="2">
        <f t="shared" si="46"/>
        <v>-0.69710014885339522</v>
      </c>
      <c r="D98" s="2">
        <f t="shared" si="46"/>
        <v>-0.62254942318667972</v>
      </c>
      <c r="E98" s="2">
        <f t="shared" si="46"/>
        <v>-0.47628226146856145</v>
      </c>
      <c r="F98" s="2">
        <f t="shared" si="46"/>
        <v>-0.66467701229760368</v>
      </c>
      <c r="G98" s="2">
        <f t="shared" si="46"/>
        <v>-0.54018525069118173</v>
      </c>
      <c r="H98" s="2">
        <f t="shared" si="46"/>
        <v>-0.63430179156361266</v>
      </c>
      <c r="I98" s="2">
        <f t="shared" si="46"/>
        <v>-0.54949522779650595</v>
      </c>
    </row>
    <row r="99" spans="1:9" x14ac:dyDescent="0.25">
      <c r="A99">
        <v>250</v>
      </c>
      <c r="B99" s="2">
        <f t="shared" ref="B99:I99" si="47">20*LOG(((B88/5)*B$73)/(B77*(B$84/5)), 10)</f>
        <v>-2.2924570038981433</v>
      </c>
      <c r="C99" s="2">
        <f t="shared" si="47"/>
        <v>-2.4745871521877834</v>
      </c>
      <c r="D99" s="2">
        <f t="shared" si="47"/>
        <v>-2.3427145747948637</v>
      </c>
      <c r="E99" s="2">
        <f t="shared" si="47"/>
        <v>-2.07730877718142</v>
      </c>
      <c r="F99" s="2">
        <f t="shared" si="47"/>
        <v>-2.4095390402903285</v>
      </c>
      <c r="G99" s="2">
        <f t="shared" si="47"/>
        <v>-2.2761123163895123</v>
      </c>
      <c r="H99" s="2">
        <f t="shared" si="47"/>
        <v>-2.2941507823686766</v>
      </c>
      <c r="I99" s="2">
        <f t="shared" si="47"/>
        <v>-2.1929038301309696</v>
      </c>
    </row>
  </sheetData>
  <mergeCells count="9">
    <mergeCell ref="A68:I68"/>
    <mergeCell ref="A79:I79"/>
    <mergeCell ref="A90:I90"/>
    <mergeCell ref="A57:I57"/>
    <mergeCell ref="A1:I1"/>
    <mergeCell ref="A12:I12"/>
    <mergeCell ref="A23:I23"/>
    <mergeCell ref="A35:I35"/>
    <mergeCell ref="A46:I46"/>
  </mergeCells>
  <conditionalFormatting sqref="B25:I32">
    <cfRule type="cellIs" dxfId="11" priority="7" operator="lessThan">
      <formula>-5.5</formula>
    </cfRule>
    <cfRule type="cellIs" dxfId="10" priority="8" operator="greaterThan">
      <formula>0.5</formula>
    </cfRule>
  </conditionalFormatting>
  <conditionalFormatting sqref="B26:I26 B31:I31">
    <cfRule type="cellIs" dxfId="9" priority="6" operator="lessThan">
      <formula>-2</formula>
    </cfRule>
  </conditionalFormatting>
  <conditionalFormatting sqref="B27:I30">
    <cfRule type="cellIs" dxfId="8" priority="5" operator="lessThan">
      <formula>-0.5</formula>
    </cfRule>
  </conditionalFormatting>
  <conditionalFormatting sqref="B59:I66">
    <cfRule type="cellIs" dxfId="7" priority="11" operator="lessThan">
      <formula>-5.5</formula>
    </cfRule>
    <cfRule type="cellIs" dxfId="6" priority="12" operator="greaterThan">
      <formula>0.5</formula>
    </cfRule>
  </conditionalFormatting>
  <conditionalFormatting sqref="B60:I60 B65:I65">
    <cfRule type="cellIs" dxfId="5" priority="10" operator="lessThan">
      <formula>-2</formula>
    </cfRule>
  </conditionalFormatting>
  <conditionalFormatting sqref="B61:I64">
    <cfRule type="cellIs" dxfId="4" priority="9" operator="lessThan">
      <formula>-0.5</formula>
    </cfRule>
  </conditionalFormatting>
  <conditionalFormatting sqref="B92:I99">
    <cfRule type="cellIs" dxfId="3" priority="3" operator="lessThan">
      <formula>-5.5</formula>
    </cfRule>
    <cfRule type="cellIs" dxfId="2" priority="4" operator="greaterThan">
      <formula>0.5</formula>
    </cfRule>
  </conditionalFormatting>
  <conditionalFormatting sqref="B93:I93 B98:I98">
    <cfRule type="cellIs" dxfId="1" priority="2" operator="lessThan">
      <formula>-2</formula>
    </cfRule>
  </conditionalFormatting>
  <conditionalFormatting sqref="B94:I97">
    <cfRule type="cellIs" dxfId="0" priority="1" operator="lessThan">
      <formula>-0.5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</dc:creator>
  <cp:lastModifiedBy>Shaev Andrew</cp:lastModifiedBy>
  <dcterms:created xsi:type="dcterms:W3CDTF">2015-06-05T18:17:20Z</dcterms:created>
  <dcterms:modified xsi:type="dcterms:W3CDTF">2026-05-20T06:42:53Z</dcterms:modified>
</cp:coreProperties>
</file>
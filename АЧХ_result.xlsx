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8_{3E92A995-4CB9-40C7-BBE5-433FB0CBBEF6}" xr6:coauthVersionLast="47" xr6:coauthVersionMax="47" xr10:uidLastSave="{00000000-0000-0000-0000-000000000000}"/>
  <bookViews>
    <workbookView xWindow="1860" yWindow="1860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2" i="1" l="1"/>
  <c r="C63" i="1"/>
  <c r="C66" i="1"/>
  <c r="C26" i="1"/>
  <c r="C29" i="1"/>
  <c r="C30" i="1"/>
  <c r="B82" i="1"/>
  <c r="C82" i="1"/>
  <c r="D82" i="1"/>
  <c r="E82" i="1"/>
  <c r="F82" i="1"/>
  <c r="G82" i="1"/>
  <c r="H82" i="1"/>
  <c r="I82" i="1"/>
  <c r="B83" i="1"/>
  <c r="C83" i="1"/>
  <c r="D83" i="1"/>
  <c r="E83" i="1"/>
  <c r="F83" i="1"/>
  <c r="G83" i="1"/>
  <c r="H83" i="1"/>
  <c r="I83" i="1"/>
  <c r="B84" i="1"/>
  <c r="C84" i="1"/>
  <c r="D84" i="1"/>
  <c r="E84" i="1"/>
  <c r="F84" i="1"/>
  <c r="G84" i="1"/>
  <c r="H84" i="1"/>
  <c r="I84" i="1"/>
  <c r="B85" i="1"/>
  <c r="C85" i="1"/>
  <c r="D85" i="1"/>
  <c r="E85" i="1"/>
  <c r="F85" i="1"/>
  <c r="G85" i="1"/>
  <c r="H85" i="1"/>
  <c r="I85" i="1"/>
  <c r="B86" i="1"/>
  <c r="C86" i="1"/>
  <c r="D86" i="1"/>
  <c r="E86" i="1"/>
  <c r="F86" i="1"/>
  <c r="G86" i="1"/>
  <c r="H86" i="1"/>
  <c r="I86" i="1"/>
  <c r="B87" i="1"/>
  <c r="C87" i="1"/>
  <c r="D87" i="1"/>
  <c r="E87" i="1"/>
  <c r="F87" i="1"/>
  <c r="G87" i="1"/>
  <c r="H87" i="1"/>
  <c r="I87" i="1"/>
  <c r="B88" i="1"/>
  <c r="C88" i="1"/>
  <c r="D88" i="1"/>
  <c r="E88" i="1"/>
  <c r="F88" i="1"/>
  <c r="G88" i="1"/>
  <c r="H88" i="1"/>
  <c r="I88" i="1"/>
  <c r="C81" i="1"/>
  <c r="D81" i="1"/>
  <c r="E81" i="1"/>
  <c r="F81" i="1"/>
  <c r="G81" i="1"/>
  <c r="H81" i="1"/>
  <c r="I81" i="1"/>
  <c r="B81" i="1"/>
  <c r="B71" i="1"/>
  <c r="C71" i="1"/>
  <c r="D71" i="1"/>
  <c r="E71" i="1"/>
  <c r="F71" i="1"/>
  <c r="G71" i="1"/>
  <c r="H71" i="1"/>
  <c r="I71" i="1"/>
  <c r="B72" i="1"/>
  <c r="C72" i="1"/>
  <c r="D72" i="1"/>
  <c r="E72" i="1"/>
  <c r="F72" i="1"/>
  <c r="G72" i="1"/>
  <c r="H72" i="1"/>
  <c r="I72" i="1"/>
  <c r="B73" i="1"/>
  <c r="C73" i="1"/>
  <c r="D73" i="1"/>
  <c r="E73" i="1"/>
  <c r="F73" i="1"/>
  <c r="G73" i="1"/>
  <c r="H73" i="1"/>
  <c r="I73" i="1"/>
  <c r="B74" i="1"/>
  <c r="C74" i="1"/>
  <c r="D74" i="1"/>
  <c r="E74" i="1"/>
  <c r="F74" i="1"/>
  <c r="G74" i="1"/>
  <c r="H74" i="1"/>
  <c r="I74" i="1"/>
  <c r="B75" i="1"/>
  <c r="C75" i="1"/>
  <c r="D75" i="1"/>
  <c r="E75" i="1"/>
  <c r="F75" i="1"/>
  <c r="G75" i="1"/>
  <c r="H75" i="1"/>
  <c r="I75" i="1"/>
  <c r="B76" i="1"/>
  <c r="C76" i="1"/>
  <c r="D76" i="1"/>
  <c r="E76" i="1"/>
  <c r="F76" i="1"/>
  <c r="G76" i="1"/>
  <c r="H76" i="1"/>
  <c r="I76" i="1"/>
  <c r="B77" i="1"/>
  <c r="C77" i="1"/>
  <c r="D77" i="1"/>
  <c r="E77" i="1"/>
  <c r="F77" i="1"/>
  <c r="G77" i="1"/>
  <c r="H77" i="1"/>
  <c r="I77" i="1"/>
  <c r="C70" i="1"/>
  <c r="D70" i="1"/>
  <c r="E70" i="1"/>
  <c r="F70" i="1"/>
  <c r="G70" i="1"/>
  <c r="H70" i="1"/>
  <c r="I70" i="1"/>
  <c r="B70" i="1"/>
  <c r="I55" i="1"/>
  <c r="H55" i="1"/>
  <c r="G55" i="1"/>
  <c r="F55" i="1"/>
  <c r="E55" i="1"/>
  <c r="D55" i="1"/>
  <c r="C55" i="1"/>
  <c r="B55" i="1"/>
  <c r="I54" i="1"/>
  <c r="H54" i="1"/>
  <c r="G54" i="1"/>
  <c r="F54" i="1"/>
  <c r="E54" i="1"/>
  <c r="D54" i="1"/>
  <c r="C54" i="1"/>
  <c r="C65" i="1" s="1"/>
  <c r="B54" i="1"/>
  <c r="I53" i="1"/>
  <c r="H53" i="1"/>
  <c r="G53" i="1"/>
  <c r="F53" i="1"/>
  <c r="E53" i="1"/>
  <c r="D53" i="1"/>
  <c r="C53" i="1"/>
  <c r="C64" i="1" s="1"/>
  <c r="B53" i="1"/>
  <c r="I52" i="1"/>
  <c r="H52" i="1"/>
  <c r="G52" i="1"/>
  <c r="F52" i="1"/>
  <c r="E52" i="1"/>
  <c r="D52" i="1"/>
  <c r="C52" i="1"/>
  <c r="B52" i="1"/>
  <c r="I51" i="1"/>
  <c r="H51" i="1"/>
  <c r="G51" i="1"/>
  <c r="F51" i="1"/>
  <c r="E51" i="1"/>
  <c r="D51" i="1"/>
  <c r="C51" i="1"/>
  <c r="B51" i="1"/>
  <c r="I50" i="1"/>
  <c r="H50" i="1"/>
  <c r="G50" i="1"/>
  <c r="F50" i="1"/>
  <c r="E50" i="1"/>
  <c r="D50" i="1"/>
  <c r="C50" i="1"/>
  <c r="C61" i="1" s="1"/>
  <c r="B50" i="1"/>
  <c r="I49" i="1"/>
  <c r="H49" i="1"/>
  <c r="G49" i="1"/>
  <c r="F49" i="1"/>
  <c r="E49" i="1"/>
  <c r="D49" i="1"/>
  <c r="C49" i="1"/>
  <c r="C60" i="1" s="1"/>
  <c r="B49" i="1"/>
  <c r="I48" i="1"/>
  <c r="H48" i="1"/>
  <c r="G48" i="1"/>
  <c r="F48" i="1"/>
  <c r="E48" i="1"/>
  <c r="D48" i="1"/>
  <c r="C48" i="1"/>
  <c r="B48" i="1"/>
  <c r="I44" i="1"/>
  <c r="H44" i="1"/>
  <c r="G44" i="1"/>
  <c r="F44" i="1"/>
  <c r="E44" i="1"/>
  <c r="D44" i="1"/>
  <c r="C44" i="1"/>
  <c r="B44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I41" i="1"/>
  <c r="H41" i="1"/>
  <c r="G41" i="1"/>
  <c r="F41" i="1"/>
  <c r="E41" i="1"/>
  <c r="D41" i="1"/>
  <c r="C41" i="1"/>
  <c r="B41" i="1"/>
  <c r="I40" i="1"/>
  <c r="H40" i="1"/>
  <c r="G40" i="1"/>
  <c r="F40" i="1"/>
  <c r="E40" i="1"/>
  <c r="D40" i="1"/>
  <c r="C40" i="1"/>
  <c r="B40" i="1"/>
  <c r="I39" i="1"/>
  <c r="H39" i="1"/>
  <c r="G39" i="1"/>
  <c r="F39" i="1"/>
  <c r="E39" i="1"/>
  <c r="D39" i="1"/>
  <c r="C39" i="1"/>
  <c r="B39" i="1"/>
  <c r="I38" i="1"/>
  <c r="H38" i="1"/>
  <c r="G38" i="1"/>
  <c r="F38" i="1"/>
  <c r="E38" i="1"/>
  <c r="D38" i="1"/>
  <c r="C38" i="1"/>
  <c r="B38" i="1"/>
  <c r="I37" i="1"/>
  <c r="H37" i="1"/>
  <c r="G37" i="1"/>
  <c r="F37" i="1"/>
  <c r="E37" i="1"/>
  <c r="D37" i="1"/>
  <c r="C37" i="1"/>
  <c r="B37" i="1"/>
  <c r="I21" i="1"/>
  <c r="H21" i="1"/>
  <c r="G21" i="1"/>
  <c r="F21" i="1"/>
  <c r="E21" i="1"/>
  <c r="D21" i="1"/>
  <c r="C21" i="1"/>
  <c r="C32" i="1" s="1"/>
  <c r="B21" i="1"/>
  <c r="I20" i="1"/>
  <c r="H20" i="1"/>
  <c r="G20" i="1"/>
  <c r="F20" i="1"/>
  <c r="E20" i="1"/>
  <c r="D20" i="1"/>
  <c r="C20" i="1"/>
  <c r="C31" i="1" s="1"/>
  <c r="B20" i="1"/>
  <c r="I19" i="1"/>
  <c r="H19" i="1"/>
  <c r="G19" i="1"/>
  <c r="F19" i="1"/>
  <c r="E19" i="1"/>
  <c r="D19" i="1"/>
  <c r="C19" i="1"/>
  <c r="B19" i="1"/>
  <c r="I18" i="1"/>
  <c r="H18" i="1"/>
  <c r="G18" i="1"/>
  <c r="F18" i="1"/>
  <c r="E18" i="1"/>
  <c r="D18" i="1"/>
  <c r="C18" i="1"/>
  <c r="B18" i="1"/>
  <c r="I17" i="1"/>
  <c r="H17" i="1"/>
  <c r="G17" i="1"/>
  <c r="F17" i="1"/>
  <c r="E17" i="1"/>
  <c r="D17" i="1"/>
  <c r="C17" i="1"/>
  <c r="C28" i="1" s="1"/>
  <c r="B17" i="1"/>
  <c r="I16" i="1"/>
  <c r="H16" i="1"/>
  <c r="G16" i="1"/>
  <c r="F16" i="1"/>
  <c r="E16" i="1"/>
  <c r="D16" i="1"/>
  <c r="C16" i="1"/>
  <c r="C27" i="1" s="1"/>
  <c r="B16" i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10" i="1"/>
  <c r="H10" i="1"/>
  <c r="G10" i="1"/>
  <c r="F10" i="1"/>
  <c r="E10" i="1"/>
  <c r="D10" i="1"/>
  <c r="C10" i="1"/>
  <c r="B10" i="1"/>
  <c r="I9" i="1"/>
  <c r="H9" i="1"/>
  <c r="G9" i="1"/>
  <c r="F9" i="1"/>
  <c r="E9" i="1"/>
  <c r="D9" i="1"/>
  <c r="C9" i="1"/>
  <c r="B9" i="1"/>
  <c r="I8" i="1"/>
  <c r="H8" i="1"/>
  <c r="G8" i="1"/>
  <c r="F8" i="1"/>
  <c r="E8" i="1"/>
  <c r="D8" i="1"/>
  <c r="C8" i="1"/>
  <c r="B8" i="1"/>
  <c r="I7" i="1"/>
  <c r="H7" i="1"/>
  <c r="G7" i="1"/>
  <c r="F7" i="1"/>
  <c r="E7" i="1"/>
  <c r="D7" i="1"/>
  <c r="C7" i="1"/>
  <c r="B7" i="1"/>
  <c r="I6" i="1"/>
  <c r="H6" i="1"/>
  <c r="G6" i="1"/>
  <c r="F6" i="1"/>
  <c r="E6" i="1"/>
  <c r="D6" i="1"/>
  <c r="C6" i="1"/>
  <c r="B6" i="1"/>
  <c r="I5" i="1"/>
  <c r="H5" i="1"/>
  <c r="G5" i="1"/>
  <c r="F5" i="1"/>
  <c r="E5" i="1"/>
  <c r="D5" i="1"/>
  <c r="C5" i="1"/>
  <c r="B5" i="1"/>
  <c r="I4" i="1"/>
  <c r="H4" i="1"/>
  <c r="G4" i="1"/>
  <c r="F4" i="1"/>
  <c r="E4" i="1"/>
  <c r="D4" i="1"/>
  <c r="C4" i="1"/>
  <c r="B4" i="1"/>
  <c r="I3" i="1"/>
  <c r="H3" i="1"/>
  <c r="G3" i="1"/>
  <c r="F3" i="1"/>
  <c r="E3" i="1"/>
  <c r="D3" i="1"/>
  <c r="C3" i="1"/>
  <c r="B3" i="1"/>
  <c r="E26" i="1" l="1"/>
  <c r="E27" i="1"/>
  <c r="E28" i="1"/>
  <c r="E29" i="1"/>
  <c r="E30" i="1"/>
  <c r="I31" i="1"/>
  <c r="I32" i="1"/>
  <c r="E61" i="1"/>
  <c r="I61" i="1"/>
  <c r="I62" i="1"/>
  <c r="I63" i="1"/>
  <c r="E65" i="1"/>
  <c r="E66" i="1"/>
  <c r="I26" i="1"/>
  <c r="I27" i="1"/>
  <c r="I28" i="1"/>
  <c r="I29" i="1"/>
  <c r="I30" i="1"/>
  <c r="E31" i="1"/>
  <c r="E32" i="1"/>
  <c r="E60" i="1"/>
  <c r="I60" i="1"/>
  <c r="E62" i="1"/>
  <c r="E63" i="1"/>
  <c r="E64" i="1"/>
  <c r="I64" i="1"/>
  <c r="I65" i="1"/>
  <c r="I66" i="1"/>
  <c r="G26" i="1"/>
  <c r="G27" i="1"/>
  <c r="G28" i="1"/>
  <c r="G29" i="1"/>
  <c r="G30" i="1"/>
  <c r="G31" i="1"/>
  <c r="G32" i="1"/>
  <c r="G60" i="1"/>
  <c r="G61" i="1"/>
  <c r="G62" i="1"/>
  <c r="G63" i="1"/>
  <c r="G64" i="1"/>
  <c r="G65" i="1"/>
  <c r="G66" i="1"/>
  <c r="I25" i="1"/>
  <c r="E59" i="1"/>
  <c r="G92" i="1"/>
  <c r="F99" i="1"/>
  <c r="F98" i="1"/>
  <c r="F97" i="1"/>
  <c r="F96" i="1"/>
  <c r="F95" i="1"/>
  <c r="F94" i="1"/>
  <c r="F93" i="1"/>
  <c r="F25" i="1"/>
  <c r="F26" i="1"/>
  <c r="F27" i="1"/>
  <c r="B29" i="1"/>
  <c r="B30" i="1"/>
  <c r="F31" i="1"/>
  <c r="B59" i="1"/>
  <c r="F59" i="1"/>
  <c r="B60" i="1"/>
  <c r="F60" i="1"/>
  <c r="B61" i="1"/>
  <c r="F61" i="1"/>
  <c r="B62" i="1"/>
  <c r="F62" i="1"/>
  <c r="B63" i="1"/>
  <c r="F63" i="1"/>
  <c r="B64" i="1"/>
  <c r="F64" i="1"/>
  <c r="B65" i="1"/>
  <c r="F65" i="1"/>
  <c r="B66" i="1"/>
  <c r="F66" i="1"/>
  <c r="B92" i="1"/>
  <c r="F92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E93" i="1"/>
  <c r="B25" i="1"/>
  <c r="B26" i="1"/>
  <c r="B27" i="1"/>
  <c r="B28" i="1"/>
  <c r="F28" i="1"/>
  <c r="F29" i="1"/>
  <c r="F30" i="1"/>
  <c r="B31" i="1"/>
  <c r="B32" i="1"/>
  <c r="F32" i="1"/>
  <c r="C25" i="1"/>
  <c r="G25" i="1"/>
  <c r="C59" i="1"/>
  <c r="G59" i="1"/>
  <c r="I92" i="1"/>
  <c r="E92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E25" i="1"/>
  <c r="I59" i="1"/>
  <c r="C92" i="1"/>
  <c r="B99" i="1"/>
  <c r="B98" i="1"/>
  <c r="B97" i="1"/>
  <c r="B96" i="1"/>
  <c r="B95" i="1"/>
  <c r="B94" i="1"/>
  <c r="B93" i="1"/>
  <c r="D25" i="1"/>
  <c r="H25" i="1"/>
  <c r="D26" i="1"/>
  <c r="H26" i="1"/>
  <c r="D27" i="1"/>
  <c r="H27" i="1"/>
  <c r="D28" i="1"/>
  <c r="H28" i="1"/>
  <c r="D29" i="1"/>
  <c r="H29" i="1"/>
  <c r="D30" i="1"/>
  <c r="H30" i="1"/>
  <c r="D31" i="1"/>
  <c r="H31" i="1"/>
  <c r="D32" i="1"/>
  <c r="H32" i="1"/>
  <c r="D59" i="1"/>
  <c r="H59" i="1"/>
  <c r="D60" i="1"/>
  <c r="H60" i="1"/>
  <c r="D61" i="1"/>
  <c r="H61" i="1"/>
  <c r="D62" i="1"/>
  <c r="H62" i="1"/>
  <c r="D63" i="1"/>
  <c r="H63" i="1"/>
  <c r="D64" i="1"/>
  <c r="H64" i="1"/>
  <c r="D65" i="1"/>
  <c r="H65" i="1"/>
  <c r="D66" i="1"/>
  <c r="H66" i="1"/>
  <c r="H92" i="1"/>
  <c r="D92" i="1"/>
  <c r="G99" i="1"/>
  <c r="C99" i="1"/>
  <c r="G98" i="1"/>
  <c r="C98" i="1"/>
  <c r="G97" i="1"/>
  <c r="C97" i="1"/>
  <c r="G96" i="1"/>
  <c r="C96" i="1"/>
  <c r="G95" i="1"/>
  <c r="C95" i="1"/>
  <c r="G94" i="1"/>
  <c r="C94" i="1"/>
  <c r="G93" i="1"/>
  <c r="C93" i="1"/>
</calcChain>
</file>

<file path=xl/sharedStrings.xml><?xml version="1.0" encoding="utf-8"?>
<sst xmlns="http://schemas.openxmlformats.org/spreadsheetml/2006/main" count="18" uniqueCount="11">
  <si>
    <t>частота\канал</t>
  </si>
  <si>
    <t>частота/канал</t>
  </si>
  <si>
    <t>Установленное значение при коэффициенте усиления BOE "-1", BOC "0"</t>
  </si>
  <si>
    <t>Измеренное значение при коэффициенте усиления BOE "-1", BOC "0"</t>
  </si>
  <si>
    <t>Погрешность при коеффициенте усления BOE "-1", BOC "0"</t>
  </si>
  <si>
    <t>Установленное значение при коэффициенте усиления BOE "-1", BOC "3"</t>
  </si>
  <si>
    <t>Измеренное значение при коэффициенте усиления BOE "-1", BOC "3"</t>
  </si>
  <si>
    <t>Погрешность при коеффициенте усления BOE "-1", BOC "3"</t>
  </si>
  <si>
    <t>Установленное значение при коэффициенте усиления BOE "0", BOC "0"</t>
  </si>
  <si>
    <t>Измеренное значение при коэффициенте усиления BOE "0", BOC "0"</t>
  </si>
  <si>
    <t>Погрешность при коеффициенте усления BOE "0", BOC "0"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</si>
</sst>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  <font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1" fillId="0" borderId="1" xfId="0" applyNumberFormat="1" applyFont="1" applyBorder="1"/>
    <xf numFmtId="0" fontId="0" fillId="0" borderId="0" xfId="0"/>
    <xf numFmtId="0" fontId="0" fillId="0" borderId="0" xfId="0" applyAlignment="1">
      <alignment horizontal="center"/>
    </xf>
    <xf numFmtId="11" fontId="2" fillId="0" borderId="1" xfId="0" applyNumberFormat="1" applyFont="1" applyBorder="1"/>
  </cellXfs>
  <cellStyles count="1"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"/>
  <sheetViews>
    <sheetView tabSelected="1" topLeftCell="E76" workbookViewId="0">
      <selection activeCell="K13" sqref="K13"/>
    </sheetView>
  </sheetViews>
  <sheetFormatPr defaultRowHeight="15" x14ac:dyDescent="0.25"/>
  <cols>
    <col min="13" max="20" width="13.5703125" customWidth="1"/>
  </cols>
  <sheetData>
    <row r="1" spans="1:20" x14ac:dyDescent="0.25">
      <c r="A1" s="4" t="s">
        <v>2</v>
      </c>
      <c r="B1" s="4"/>
      <c r="C1" s="4"/>
      <c r="D1" s="4"/>
      <c r="E1" s="4"/>
      <c r="F1" s="4"/>
      <c r="G1" s="4"/>
      <c r="H1" s="4"/>
      <c r="I1" s="4"/>
      <c r="M1" s="3">
        <v>1.5373744E-2</v>
      </c>
      <c r="N1" s="3">
        <v>1.5230230000000001E-2</v>
      </c>
      <c r="O1" s="3">
        <v>1.5256321999999999E-2</v>
      </c>
      <c r="P1" s="3">
        <v>1.5320613E-2</v>
      </c>
      <c r="Q1" s="3">
        <v>1.5249057999999999E-2</v>
      </c>
      <c r="R1" s="3">
        <v>1.5353848999999999E-2</v>
      </c>
      <c r="S1" s="3">
        <v>1.5118700000000001E-2</v>
      </c>
      <c r="T1" s="3">
        <v>1.5184838000000001E-2</v>
      </c>
    </row>
    <row r="2" spans="1:20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3">
        <v>1.5280185E-2</v>
      </c>
      <c r="N2" s="3">
        <v>1.5095388E-2</v>
      </c>
      <c r="O2" s="3">
        <v>1.5136573E-2</v>
      </c>
      <c r="P2" s="3">
        <v>1.5245296E-2</v>
      </c>
      <c r="Q2" s="3">
        <v>1.5152631999999999E-2</v>
      </c>
      <c r="R2" s="3">
        <v>1.5254953999999999E-2</v>
      </c>
      <c r="S2" s="3">
        <v>1.5035247999999999E-2</v>
      </c>
      <c r="T2" s="3">
        <v>1.5090304000000001E-2</v>
      </c>
    </row>
    <row r="3" spans="1:20" x14ac:dyDescent="0.25">
      <c r="A3">
        <v>50</v>
      </c>
      <c r="B3" s="1">
        <f>M1</f>
        <v>1.5373744E-2</v>
      </c>
      <c r="C3" s="1">
        <f t="shared" ref="C3:I10" si="0">N1</f>
        <v>1.5230230000000001E-2</v>
      </c>
      <c r="D3" s="1">
        <f t="shared" si="0"/>
        <v>1.5256321999999999E-2</v>
      </c>
      <c r="E3" s="1">
        <f t="shared" si="0"/>
        <v>1.5320613E-2</v>
      </c>
      <c r="F3" s="1">
        <f t="shared" si="0"/>
        <v>1.5249057999999999E-2</v>
      </c>
      <c r="G3" s="1">
        <f t="shared" si="0"/>
        <v>1.5353848999999999E-2</v>
      </c>
      <c r="H3" s="1">
        <f t="shared" si="0"/>
        <v>1.5118700000000001E-2</v>
      </c>
      <c r="I3" s="1">
        <f t="shared" si="0"/>
        <v>1.5184838000000001E-2</v>
      </c>
      <c r="M3" s="3">
        <v>1.5315468E-2</v>
      </c>
      <c r="N3" s="3">
        <v>1.5138286000000001E-2</v>
      </c>
      <c r="O3" s="3">
        <v>1.5171762E-2</v>
      </c>
      <c r="P3" s="3">
        <v>1.5291423E-2</v>
      </c>
      <c r="Q3" s="3">
        <v>1.5203187E-2</v>
      </c>
      <c r="R3" s="3">
        <v>1.5284904E-2</v>
      </c>
      <c r="S3" s="3">
        <v>1.5109533E-2</v>
      </c>
      <c r="T3" s="3">
        <v>1.5157701000000001E-2</v>
      </c>
    </row>
    <row r="4" spans="1:20" x14ac:dyDescent="0.25">
      <c r="A4">
        <v>60</v>
      </c>
      <c r="B4" s="1">
        <f t="shared" ref="B4:B10" si="1">M2</f>
        <v>1.5280185E-2</v>
      </c>
      <c r="C4" s="1">
        <f t="shared" si="0"/>
        <v>1.5095388E-2</v>
      </c>
      <c r="D4" s="1">
        <f t="shared" si="0"/>
        <v>1.5136573E-2</v>
      </c>
      <c r="E4" s="1">
        <f t="shared" si="0"/>
        <v>1.5245296E-2</v>
      </c>
      <c r="F4" s="1">
        <f t="shared" si="0"/>
        <v>1.5152631999999999E-2</v>
      </c>
      <c r="G4" s="1">
        <f t="shared" si="0"/>
        <v>1.5254953999999999E-2</v>
      </c>
      <c r="H4" s="1">
        <f t="shared" si="0"/>
        <v>1.5035247999999999E-2</v>
      </c>
      <c r="I4" s="1">
        <f t="shared" si="0"/>
        <v>1.5090304000000001E-2</v>
      </c>
      <c r="M4" s="3">
        <v>1.5417645000000001E-2</v>
      </c>
      <c r="N4" s="3">
        <v>1.531389E-2</v>
      </c>
      <c r="O4" s="3">
        <v>1.5325017E-2</v>
      </c>
      <c r="P4" s="3">
        <v>1.5415241999999999E-2</v>
      </c>
      <c r="Q4" s="3">
        <v>1.5346922000000001E-2</v>
      </c>
      <c r="R4" s="3">
        <v>1.5400436999999999E-2</v>
      </c>
      <c r="S4" s="3">
        <v>1.5299258E-2</v>
      </c>
      <c r="T4" s="3">
        <v>1.5353898E-2</v>
      </c>
    </row>
    <row r="5" spans="1:20" x14ac:dyDescent="0.25">
      <c r="A5">
        <v>70</v>
      </c>
      <c r="B5" s="1">
        <f t="shared" si="1"/>
        <v>1.5315468E-2</v>
      </c>
      <c r="C5" s="1">
        <f t="shared" si="0"/>
        <v>1.5138286000000001E-2</v>
      </c>
      <c r="D5" s="1">
        <f t="shared" si="0"/>
        <v>1.5171762E-2</v>
      </c>
      <c r="E5" s="1">
        <f t="shared" si="0"/>
        <v>1.5291423E-2</v>
      </c>
      <c r="F5" s="1">
        <f t="shared" si="0"/>
        <v>1.5203187E-2</v>
      </c>
      <c r="G5" s="1">
        <f t="shared" si="0"/>
        <v>1.5284904E-2</v>
      </c>
      <c r="H5" s="1">
        <f t="shared" si="0"/>
        <v>1.5109533E-2</v>
      </c>
      <c r="I5" s="1">
        <f t="shared" si="0"/>
        <v>1.5157701000000001E-2</v>
      </c>
      <c r="M5" s="3">
        <v>1.5448834999999999E-2</v>
      </c>
      <c r="N5" s="3">
        <v>1.5386875E-2</v>
      </c>
      <c r="O5" s="3">
        <v>1.5394672E-2</v>
      </c>
      <c r="P5" s="3">
        <v>1.5449933000000001E-2</v>
      </c>
      <c r="Q5" s="3">
        <v>1.5399690000000001E-2</v>
      </c>
      <c r="R5" s="3">
        <v>1.5445578999999999E-2</v>
      </c>
      <c r="S5" s="3">
        <v>1.5377481E-2</v>
      </c>
      <c r="T5" s="3">
        <v>1.5429864E-2</v>
      </c>
    </row>
    <row r="6" spans="1:20" x14ac:dyDescent="0.25">
      <c r="A6">
        <v>100</v>
      </c>
      <c r="B6" s="1">
        <f t="shared" si="1"/>
        <v>1.5417645000000001E-2</v>
      </c>
      <c r="C6" s="1">
        <f t="shared" si="0"/>
        <v>1.531389E-2</v>
      </c>
      <c r="D6" s="1">
        <f t="shared" si="0"/>
        <v>1.5325017E-2</v>
      </c>
      <c r="E6" s="1">
        <f t="shared" si="0"/>
        <v>1.5415241999999999E-2</v>
      </c>
      <c r="F6" s="1">
        <f t="shared" si="0"/>
        <v>1.5346922000000001E-2</v>
      </c>
      <c r="G6" s="1">
        <f t="shared" si="0"/>
        <v>1.5400436999999999E-2</v>
      </c>
      <c r="H6" s="1">
        <f t="shared" si="0"/>
        <v>1.5299258E-2</v>
      </c>
      <c r="I6" s="1">
        <f t="shared" si="0"/>
        <v>1.5353898E-2</v>
      </c>
      <c r="M6" s="3">
        <v>1.5463910000000001E-2</v>
      </c>
      <c r="N6" s="3">
        <v>1.5418181E-2</v>
      </c>
      <c r="O6" s="3">
        <v>1.5428450999999999E-2</v>
      </c>
      <c r="P6" s="3">
        <v>1.5465578000000001E-2</v>
      </c>
      <c r="Q6" s="3">
        <v>1.5427338000000001E-2</v>
      </c>
      <c r="R6" s="3">
        <v>1.5468166E-2</v>
      </c>
      <c r="S6" s="3">
        <v>1.5408043E-2</v>
      </c>
      <c r="T6" s="3">
        <v>1.5460754E-2</v>
      </c>
    </row>
    <row r="7" spans="1:20" x14ac:dyDescent="0.25">
      <c r="A7">
        <v>140</v>
      </c>
      <c r="B7" s="1">
        <f t="shared" si="1"/>
        <v>1.5448834999999999E-2</v>
      </c>
      <c r="C7" s="1">
        <f t="shared" si="0"/>
        <v>1.5386875E-2</v>
      </c>
      <c r="D7" s="1">
        <f t="shared" si="0"/>
        <v>1.5394672E-2</v>
      </c>
      <c r="E7" s="1">
        <f t="shared" si="0"/>
        <v>1.5449933000000001E-2</v>
      </c>
      <c r="F7" s="1">
        <f t="shared" si="0"/>
        <v>1.5399690000000001E-2</v>
      </c>
      <c r="G7" s="1">
        <f t="shared" si="0"/>
        <v>1.5445578999999999E-2</v>
      </c>
      <c r="H7" s="1">
        <f t="shared" si="0"/>
        <v>1.5377481E-2</v>
      </c>
      <c r="I7" s="1">
        <f t="shared" si="0"/>
        <v>1.5429864E-2</v>
      </c>
      <c r="M7" s="3">
        <v>1.5492189E-2</v>
      </c>
      <c r="N7" s="3">
        <v>1.5446926E-2</v>
      </c>
      <c r="O7" s="3">
        <v>1.5465527999999999E-2</v>
      </c>
      <c r="P7" s="3">
        <v>1.5496355E-2</v>
      </c>
      <c r="Q7" s="3">
        <v>1.5458401E-2</v>
      </c>
      <c r="R7" s="3">
        <v>1.549727E-2</v>
      </c>
      <c r="S7" s="3">
        <v>1.5442000000000001E-2</v>
      </c>
      <c r="T7" s="3">
        <v>1.5492494000000001E-2</v>
      </c>
    </row>
    <row r="8" spans="1:20" x14ac:dyDescent="0.25">
      <c r="A8">
        <v>180</v>
      </c>
      <c r="B8" s="1">
        <f t="shared" si="1"/>
        <v>1.5463910000000001E-2</v>
      </c>
      <c r="C8" s="1">
        <f t="shared" si="0"/>
        <v>1.5418181E-2</v>
      </c>
      <c r="D8" s="1">
        <f t="shared" si="0"/>
        <v>1.5428450999999999E-2</v>
      </c>
      <c r="E8" s="1">
        <f t="shared" si="0"/>
        <v>1.5465578000000001E-2</v>
      </c>
      <c r="F8" s="1">
        <f t="shared" si="0"/>
        <v>1.5427338000000001E-2</v>
      </c>
      <c r="G8" s="1">
        <f t="shared" si="0"/>
        <v>1.5468166E-2</v>
      </c>
      <c r="H8" s="1">
        <f t="shared" si="0"/>
        <v>1.5408043E-2</v>
      </c>
      <c r="I8" s="1">
        <f t="shared" si="0"/>
        <v>1.5460754E-2</v>
      </c>
      <c r="M8" s="3">
        <v>1.5504697E-2</v>
      </c>
      <c r="N8" s="3">
        <v>1.5466448000000001E-2</v>
      </c>
      <c r="O8" s="3">
        <v>1.5484144E-2</v>
      </c>
      <c r="P8" s="3">
        <v>1.5507221999999999E-2</v>
      </c>
      <c r="Q8" s="3">
        <v>1.5475898E-2</v>
      </c>
      <c r="R8" s="3">
        <v>1.5515568E-2</v>
      </c>
      <c r="S8" s="3">
        <v>1.5455679999999999E-2</v>
      </c>
      <c r="T8" s="3">
        <v>1.5506228E-2</v>
      </c>
    </row>
    <row r="9" spans="1:20" x14ac:dyDescent="0.25">
      <c r="A9">
        <v>210</v>
      </c>
      <c r="B9" s="1">
        <f t="shared" si="1"/>
        <v>1.5492189E-2</v>
      </c>
      <c r="C9" s="1">
        <f t="shared" si="0"/>
        <v>1.5446926E-2</v>
      </c>
      <c r="D9" s="1">
        <f t="shared" si="0"/>
        <v>1.5465527999999999E-2</v>
      </c>
      <c r="E9" s="1">
        <f t="shared" si="0"/>
        <v>1.5496355E-2</v>
      </c>
      <c r="F9" s="1">
        <f t="shared" si="0"/>
        <v>1.5458401E-2</v>
      </c>
      <c r="G9" s="1">
        <f t="shared" si="0"/>
        <v>1.549727E-2</v>
      </c>
      <c r="H9" s="1">
        <f t="shared" si="0"/>
        <v>1.5442000000000001E-2</v>
      </c>
      <c r="I9" s="1">
        <f t="shared" si="0"/>
        <v>1.5492494000000001E-2</v>
      </c>
      <c r="M9" s="3">
        <v>9.5822270000000005E-3</v>
      </c>
      <c r="N9" s="3">
        <v>9.4977959999999993E-3</v>
      </c>
      <c r="O9" s="3">
        <v>9.394856E-3</v>
      </c>
      <c r="P9" s="3">
        <v>9.5711909999999997E-3</v>
      </c>
      <c r="Q9" s="3">
        <v>9.5120489999999999E-3</v>
      </c>
      <c r="R9" s="3">
        <v>9.5754710000000003E-3</v>
      </c>
      <c r="S9" s="3">
        <v>9.6224640000000007E-3</v>
      </c>
      <c r="T9" s="3">
        <v>9.5837079999999998E-3</v>
      </c>
    </row>
    <row r="10" spans="1:20" x14ac:dyDescent="0.25">
      <c r="A10">
        <v>250</v>
      </c>
      <c r="B10" s="1">
        <f t="shared" si="1"/>
        <v>1.5504697E-2</v>
      </c>
      <c r="C10" s="1">
        <f t="shared" si="0"/>
        <v>1.5466448000000001E-2</v>
      </c>
      <c r="D10" s="1">
        <f t="shared" si="0"/>
        <v>1.5484144E-2</v>
      </c>
      <c r="E10" s="1">
        <f t="shared" si="0"/>
        <v>1.5507221999999999E-2</v>
      </c>
      <c r="F10" s="1">
        <f t="shared" si="0"/>
        <v>1.5475898E-2</v>
      </c>
      <c r="G10" s="1">
        <f t="shared" si="0"/>
        <v>1.5515568E-2</v>
      </c>
      <c r="H10" s="1">
        <f t="shared" si="0"/>
        <v>1.5455679999999999E-2</v>
      </c>
      <c r="I10" s="1">
        <f t="shared" si="0"/>
        <v>1.5506228E-2</v>
      </c>
      <c r="M10" s="3">
        <v>1.3232023000000001E-2</v>
      </c>
      <c r="N10" s="3">
        <v>1.3211479999999999E-2</v>
      </c>
      <c r="O10" s="3">
        <v>1.3152936E-2</v>
      </c>
      <c r="P10" s="3">
        <v>1.3303936000000001E-2</v>
      </c>
      <c r="Q10" s="3">
        <v>1.3236758E-2</v>
      </c>
      <c r="R10" s="3">
        <v>1.3195884999999999E-2</v>
      </c>
      <c r="S10" s="3">
        <v>1.3328517999999999E-2</v>
      </c>
      <c r="T10" s="3">
        <v>1.33197E-2</v>
      </c>
    </row>
    <row r="11" spans="1:20" x14ac:dyDescent="0.25">
      <c r="M11" s="3">
        <v>1.4369554E-2</v>
      </c>
      <c r="N11" s="3">
        <v>1.4371185999999999E-2</v>
      </c>
      <c r="O11" s="3">
        <v>1.4335250000000001E-2</v>
      </c>
      <c r="P11" s="3">
        <v>1.4449837E-2</v>
      </c>
      <c r="Q11" s="3">
        <v>1.4337994E-2</v>
      </c>
      <c r="R11" s="3">
        <v>1.4394918E-2</v>
      </c>
      <c r="S11" s="3">
        <v>1.4510029000000001E-2</v>
      </c>
      <c r="T11" s="3">
        <v>1.4502374E-2</v>
      </c>
    </row>
    <row r="12" spans="1:20" x14ac:dyDescent="0.25">
      <c r="A12" s="4" t="s">
        <v>3</v>
      </c>
      <c r="B12" s="4"/>
      <c r="C12" s="4"/>
      <c r="D12" s="4"/>
      <c r="E12" s="4"/>
      <c r="F12" s="4"/>
      <c r="G12" s="4"/>
      <c r="H12" s="4"/>
      <c r="I12" s="4"/>
      <c r="M12" s="3">
        <v>1.4630387E-2</v>
      </c>
      <c r="N12" s="3">
        <v>1.4610199000000001E-2</v>
      </c>
      <c r="O12" s="3">
        <v>1.4586992999999999E-2</v>
      </c>
      <c r="P12" s="3">
        <v>1.4661422E-2</v>
      </c>
      <c r="Q12" s="3">
        <v>1.4569952000000001E-2</v>
      </c>
      <c r="R12" s="3">
        <v>1.4620716000000001E-2</v>
      </c>
      <c r="S12" s="3">
        <v>1.4661343E-2</v>
      </c>
      <c r="T12" s="3">
        <v>1.4643255000000001E-2</v>
      </c>
    </row>
    <row r="13" spans="1:20" x14ac:dyDescent="0.25">
      <c r="A13" t="s">
        <v>0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3">
        <v>1.454693E-2</v>
      </c>
      <c r="N13" s="3">
        <v>1.4394835E-2</v>
      </c>
      <c r="O13" s="3">
        <v>1.4395856E-2</v>
      </c>
      <c r="P13" s="3">
        <v>1.4576501E-2</v>
      </c>
      <c r="Q13" s="3">
        <v>1.4372255E-2</v>
      </c>
      <c r="R13" s="3">
        <v>1.4382135000000001E-2</v>
      </c>
      <c r="S13" s="3">
        <v>1.4469564000000001E-2</v>
      </c>
      <c r="T13" s="3">
        <v>1.4414727E-2</v>
      </c>
    </row>
    <row r="14" spans="1:20" x14ac:dyDescent="0.25">
      <c r="A14">
        <v>50</v>
      </c>
      <c r="B14" s="1">
        <f>M9</f>
        <v>9.5822270000000005E-3</v>
      </c>
      <c r="C14" s="1">
        <f t="shared" ref="C14:I21" si="2">N9</f>
        <v>9.4977959999999993E-3</v>
      </c>
      <c r="D14" s="1">
        <f t="shared" si="2"/>
        <v>9.394856E-3</v>
      </c>
      <c r="E14" s="1">
        <f t="shared" si="2"/>
        <v>9.5711909999999997E-3</v>
      </c>
      <c r="F14" s="1">
        <f t="shared" si="2"/>
        <v>9.5120489999999999E-3</v>
      </c>
      <c r="G14" s="1">
        <f t="shared" si="2"/>
        <v>9.5754710000000003E-3</v>
      </c>
      <c r="H14" s="1">
        <f t="shared" si="2"/>
        <v>9.6224640000000007E-3</v>
      </c>
      <c r="I14" s="1">
        <f t="shared" si="2"/>
        <v>9.5837079999999998E-3</v>
      </c>
      <c r="M14" s="3">
        <v>1.4441010000000001E-2</v>
      </c>
      <c r="N14" s="3">
        <v>1.421184E-2</v>
      </c>
      <c r="O14" s="3">
        <v>1.4216562E-2</v>
      </c>
      <c r="P14" s="3">
        <v>1.4574349E-2</v>
      </c>
      <c r="Q14" s="3">
        <v>1.4224326000000001E-2</v>
      </c>
      <c r="R14" s="3">
        <v>1.4226437E-2</v>
      </c>
      <c r="S14" s="3">
        <v>1.4358589999999999E-2</v>
      </c>
      <c r="T14" s="3">
        <v>1.421502E-2</v>
      </c>
    </row>
    <row r="15" spans="1:20" x14ac:dyDescent="0.25">
      <c r="A15">
        <v>60</v>
      </c>
      <c r="B15" s="1">
        <f t="shared" ref="B15:B21" si="3">M10</f>
        <v>1.3232023000000001E-2</v>
      </c>
      <c r="C15" s="1">
        <f t="shared" si="2"/>
        <v>1.3211479999999999E-2</v>
      </c>
      <c r="D15" s="1">
        <f t="shared" si="2"/>
        <v>1.3152936E-2</v>
      </c>
      <c r="E15" s="1">
        <f t="shared" si="2"/>
        <v>1.3303936000000001E-2</v>
      </c>
      <c r="F15" s="1">
        <f t="shared" si="2"/>
        <v>1.3236758E-2</v>
      </c>
      <c r="G15" s="1">
        <f t="shared" si="2"/>
        <v>1.3195884999999999E-2</v>
      </c>
      <c r="H15" s="1">
        <f t="shared" si="2"/>
        <v>1.3328517999999999E-2</v>
      </c>
      <c r="I15" s="1">
        <f t="shared" si="2"/>
        <v>1.33197E-2</v>
      </c>
      <c r="M15" s="3">
        <v>1.3878400000000001E-2</v>
      </c>
      <c r="N15" s="3">
        <v>1.3701364000000001E-2</v>
      </c>
      <c r="O15" s="3">
        <v>1.3682662999999999E-2</v>
      </c>
      <c r="P15" s="3">
        <v>1.4020035E-2</v>
      </c>
      <c r="Q15" s="3">
        <v>1.3710829000000001E-2</v>
      </c>
      <c r="R15" s="3">
        <v>1.3605122000000001E-2</v>
      </c>
      <c r="S15" s="3">
        <v>1.3719581999999999E-2</v>
      </c>
      <c r="T15" s="3">
        <v>1.3657816E-2</v>
      </c>
    </row>
    <row r="16" spans="1:20" x14ac:dyDescent="0.25">
      <c r="A16">
        <v>70</v>
      </c>
      <c r="B16" s="1">
        <f t="shared" si="3"/>
        <v>1.4369554E-2</v>
      </c>
      <c r="C16" s="1">
        <f t="shared" si="2"/>
        <v>1.4371185999999999E-2</v>
      </c>
      <c r="D16" s="1">
        <f t="shared" si="2"/>
        <v>1.4335250000000001E-2</v>
      </c>
      <c r="E16" s="1">
        <f t="shared" si="2"/>
        <v>1.4449837E-2</v>
      </c>
      <c r="F16" s="1">
        <f t="shared" si="2"/>
        <v>1.4337994E-2</v>
      </c>
      <c r="G16" s="1">
        <f t="shared" si="2"/>
        <v>1.4394918E-2</v>
      </c>
      <c r="H16" s="1">
        <f t="shared" si="2"/>
        <v>1.4510029000000001E-2</v>
      </c>
      <c r="I16" s="1">
        <f t="shared" si="2"/>
        <v>1.4502374E-2</v>
      </c>
      <c r="M16" s="3">
        <v>1.1278979999999999E-2</v>
      </c>
      <c r="N16" s="3">
        <v>1.1275759999999999E-2</v>
      </c>
      <c r="O16" s="3">
        <v>1.1201086000000001E-2</v>
      </c>
      <c r="P16" s="3">
        <v>1.1577718000000001E-2</v>
      </c>
      <c r="Q16" s="3">
        <v>1.1248241000000001E-2</v>
      </c>
      <c r="R16" s="3">
        <v>1.1108547E-2</v>
      </c>
      <c r="S16" s="3">
        <v>1.1233734E-2</v>
      </c>
      <c r="T16" s="3">
        <v>1.1161383E-2</v>
      </c>
    </row>
    <row r="17" spans="1:20" x14ac:dyDescent="0.25">
      <c r="A17">
        <v>100</v>
      </c>
      <c r="B17" s="1">
        <f t="shared" si="3"/>
        <v>1.4630387E-2</v>
      </c>
      <c r="C17" s="1">
        <f t="shared" si="2"/>
        <v>1.4610199000000001E-2</v>
      </c>
      <c r="D17" s="1">
        <f t="shared" si="2"/>
        <v>1.4586992999999999E-2</v>
      </c>
      <c r="E17" s="1">
        <f t="shared" si="2"/>
        <v>1.4661422E-2</v>
      </c>
      <c r="F17" s="1">
        <f t="shared" si="2"/>
        <v>1.4569952000000001E-2</v>
      </c>
      <c r="G17" s="1">
        <f t="shared" si="2"/>
        <v>1.4620716000000001E-2</v>
      </c>
      <c r="H17" s="1">
        <f t="shared" si="2"/>
        <v>1.4661343E-2</v>
      </c>
      <c r="I17" s="1">
        <f t="shared" si="2"/>
        <v>1.4643255000000001E-2</v>
      </c>
      <c r="M17" s="3">
        <v>1.537171E-2</v>
      </c>
      <c r="N17" s="3">
        <v>1.5220595999999999E-2</v>
      </c>
      <c r="O17" s="3">
        <v>1.525495E-2</v>
      </c>
      <c r="P17" s="3">
        <v>1.531502E-2</v>
      </c>
      <c r="Q17" s="3">
        <v>1.5240757000000001E-2</v>
      </c>
      <c r="R17" s="3">
        <v>1.5349572000000001E-2</v>
      </c>
      <c r="S17" s="3">
        <v>1.5112265999999999E-2</v>
      </c>
      <c r="T17" s="3">
        <v>1.5186079E-2</v>
      </c>
    </row>
    <row r="18" spans="1:20" x14ac:dyDescent="0.25">
      <c r="A18">
        <v>140</v>
      </c>
      <c r="B18" s="1">
        <f t="shared" si="3"/>
        <v>1.454693E-2</v>
      </c>
      <c r="C18" s="1">
        <f t="shared" si="2"/>
        <v>1.4394835E-2</v>
      </c>
      <c r="D18" s="1">
        <f t="shared" si="2"/>
        <v>1.4395856E-2</v>
      </c>
      <c r="E18" s="1">
        <f t="shared" si="2"/>
        <v>1.4576501E-2</v>
      </c>
      <c r="F18" s="1">
        <f t="shared" si="2"/>
        <v>1.4372255E-2</v>
      </c>
      <c r="G18" s="1">
        <f t="shared" si="2"/>
        <v>1.4382135000000001E-2</v>
      </c>
      <c r="H18" s="1">
        <f t="shared" si="2"/>
        <v>1.4469564000000001E-2</v>
      </c>
      <c r="I18" s="1">
        <f t="shared" si="2"/>
        <v>1.4414727E-2</v>
      </c>
      <c r="M18" s="3">
        <v>1.5276534E-2</v>
      </c>
      <c r="N18" s="3">
        <v>1.5087961E-2</v>
      </c>
      <c r="O18" s="3">
        <v>1.5130219E-2</v>
      </c>
      <c r="P18" s="3">
        <v>1.5238064000000001E-2</v>
      </c>
      <c r="Q18" s="3">
        <v>1.5142933000000001E-2</v>
      </c>
      <c r="R18" s="3">
        <v>1.524578E-2</v>
      </c>
      <c r="S18" s="3">
        <v>1.5029307E-2</v>
      </c>
      <c r="T18" s="3">
        <v>1.5083549999999999E-2</v>
      </c>
    </row>
    <row r="19" spans="1:20" x14ac:dyDescent="0.25">
      <c r="A19">
        <v>180</v>
      </c>
      <c r="B19" s="1">
        <f t="shared" si="3"/>
        <v>1.4441010000000001E-2</v>
      </c>
      <c r="C19" s="1">
        <f t="shared" si="2"/>
        <v>1.421184E-2</v>
      </c>
      <c r="D19" s="1">
        <f t="shared" si="2"/>
        <v>1.4216562E-2</v>
      </c>
      <c r="E19" s="1">
        <f t="shared" si="2"/>
        <v>1.4574349E-2</v>
      </c>
      <c r="F19" s="1">
        <f t="shared" si="2"/>
        <v>1.4224326000000001E-2</v>
      </c>
      <c r="G19" s="1">
        <f t="shared" si="2"/>
        <v>1.4226437E-2</v>
      </c>
      <c r="H19" s="1">
        <f t="shared" si="2"/>
        <v>1.4358589999999999E-2</v>
      </c>
      <c r="I19" s="1">
        <f t="shared" si="2"/>
        <v>1.421502E-2</v>
      </c>
      <c r="M19" s="3">
        <v>1.5302912E-2</v>
      </c>
      <c r="N19" s="3">
        <v>1.5126651E-2</v>
      </c>
      <c r="O19" s="3">
        <v>1.5161286E-2</v>
      </c>
      <c r="P19" s="3">
        <v>1.5284514000000001E-2</v>
      </c>
      <c r="Q19" s="3">
        <v>1.5189166E-2</v>
      </c>
      <c r="R19" s="3">
        <v>1.5273745E-2</v>
      </c>
      <c r="S19" s="3">
        <v>1.5102295999999999E-2</v>
      </c>
      <c r="T19" s="3">
        <v>1.5153955E-2</v>
      </c>
    </row>
    <row r="20" spans="1:20" x14ac:dyDescent="0.25">
      <c r="A20">
        <v>210</v>
      </c>
      <c r="B20" s="1">
        <f t="shared" si="3"/>
        <v>1.3878400000000001E-2</v>
      </c>
      <c r="C20" s="1">
        <f t="shared" si="2"/>
        <v>1.3701364000000001E-2</v>
      </c>
      <c r="D20" s="1">
        <f t="shared" si="2"/>
        <v>1.3682662999999999E-2</v>
      </c>
      <c r="E20" s="1">
        <f t="shared" si="2"/>
        <v>1.4020035E-2</v>
      </c>
      <c r="F20" s="1">
        <f t="shared" si="2"/>
        <v>1.3710829000000001E-2</v>
      </c>
      <c r="G20" s="1">
        <f t="shared" si="2"/>
        <v>1.3605122000000001E-2</v>
      </c>
      <c r="H20" s="1">
        <f t="shared" si="2"/>
        <v>1.3719581999999999E-2</v>
      </c>
      <c r="I20" s="1">
        <f t="shared" si="2"/>
        <v>1.3657816E-2</v>
      </c>
      <c r="M20" s="3">
        <v>1.54001E-2</v>
      </c>
      <c r="N20" s="3">
        <v>1.5298915E-2</v>
      </c>
      <c r="O20" s="3">
        <v>1.5308646E-2</v>
      </c>
      <c r="P20" s="3">
        <v>1.5401229000000001E-2</v>
      </c>
      <c r="Q20" s="3">
        <v>1.5331348E-2</v>
      </c>
      <c r="R20" s="3">
        <v>1.5385831000000001E-2</v>
      </c>
      <c r="S20" s="3">
        <v>1.5289560000000001E-2</v>
      </c>
      <c r="T20" s="3">
        <v>1.5340433000000001E-2</v>
      </c>
    </row>
    <row r="21" spans="1:20" x14ac:dyDescent="0.25">
      <c r="A21">
        <v>250</v>
      </c>
      <c r="B21" s="1">
        <f t="shared" si="3"/>
        <v>1.1278979999999999E-2</v>
      </c>
      <c r="C21" s="1">
        <f t="shared" si="2"/>
        <v>1.1275759999999999E-2</v>
      </c>
      <c r="D21" s="1">
        <f t="shared" si="2"/>
        <v>1.1201086000000001E-2</v>
      </c>
      <c r="E21" s="1">
        <f t="shared" si="2"/>
        <v>1.1577718000000001E-2</v>
      </c>
      <c r="F21" s="1">
        <f t="shared" si="2"/>
        <v>1.1248241000000001E-2</v>
      </c>
      <c r="G21" s="1">
        <f t="shared" si="2"/>
        <v>1.1108547E-2</v>
      </c>
      <c r="H21" s="1">
        <f t="shared" si="2"/>
        <v>1.1233734E-2</v>
      </c>
      <c r="I21" s="1">
        <f t="shared" si="2"/>
        <v>1.1161383E-2</v>
      </c>
      <c r="M21" s="3">
        <v>1.5430304000000001E-2</v>
      </c>
      <c r="N21" s="3">
        <v>1.5369900000000001E-2</v>
      </c>
      <c r="O21" s="3">
        <v>1.5375969999999999E-2</v>
      </c>
      <c r="P21" s="3">
        <v>1.5434552000000001E-2</v>
      </c>
      <c r="Q21" s="3">
        <v>1.5383864000000001E-2</v>
      </c>
      <c r="R21" s="3">
        <v>1.5428333000000001E-2</v>
      </c>
      <c r="S21" s="3">
        <v>1.5360229E-2</v>
      </c>
      <c r="T21" s="3">
        <v>1.5415059E-2</v>
      </c>
    </row>
    <row r="22" spans="1:20" x14ac:dyDescent="0.25">
      <c r="M22" s="3">
        <v>1.5446207999999999E-2</v>
      </c>
      <c r="N22" s="3">
        <v>1.5399919999999999E-2</v>
      </c>
      <c r="O22" s="3">
        <v>1.5410881E-2</v>
      </c>
      <c r="P22" s="3">
        <v>1.5451395E-2</v>
      </c>
      <c r="Q22" s="3">
        <v>1.5409291E-2</v>
      </c>
      <c r="R22" s="3">
        <v>1.5451507999999999E-2</v>
      </c>
      <c r="S22" s="3">
        <v>1.5392539E-2</v>
      </c>
      <c r="T22" s="3">
        <v>1.5444571000000001E-2</v>
      </c>
    </row>
    <row r="23" spans="1:20" x14ac:dyDescent="0.25">
      <c r="A23" s="5" t="s">
        <v>4</v>
      </c>
      <c r="B23" s="5"/>
      <c r="C23" s="5"/>
      <c r="D23" s="5"/>
      <c r="E23" s="5"/>
      <c r="F23" s="5"/>
      <c r="G23" s="5"/>
      <c r="H23" s="5"/>
      <c r="I23" s="5"/>
      <c r="M23" s="3">
        <v>1.5476652E-2</v>
      </c>
      <c r="N23" s="3">
        <v>1.5433664999999999E-2</v>
      </c>
      <c r="O23" s="3">
        <v>1.5447400999999999E-2</v>
      </c>
      <c r="P23" s="3">
        <v>1.5478057999999999E-2</v>
      </c>
      <c r="Q23" s="3">
        <v>1.54436E-2</v>
      </c>
      <c r="R23" s="3">
        <v>1.5481340999999999E-2</v>
      </c>
      <c r="S23" s="3">
        <v>1.5429965E-2</v>
      </c>
      <c r="T23" s="3">
        <v>1.5469368000000001E-2</v>
      </c>
    </row>
    <row r="24" spans="1:20" x14ac:dyDescent="0.25">
      <c r="A24" t="s">
        <v>0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3">
        <v>1.5481933999999999E-2</v>
      </c>
      <c r="N24" s="3">
        <v>1.5444373000000001E-2</v>
      </c>
      <c r="O24" s="3">
        <v>1.5460544E-2</v>
      </c>
      <c r="P24" s="3">
        <v>1.5483986E-2</v>
      </c>
      <c r="Q24" s="3">
        <v>1.5453415999999999E-2</v>
      </c>
      <c r="R24" s="3">
        <v>1.5491134E-2</v>
      </c>
      <c r="S24" s="3">
        <v>1.543623E-2</v>
      </c>
      <c r="T24" s="3">
        <v>1.548588E-2</v>
      </c>
    </row>
    <row r="25" spans="1:20" x14ac:dyDescent="0.25">
      <c r="A25">
        <v>50</v>
      </c>
      <c r="B25" s="2">
        <f>20*LOG(((B14)*B$6)/(B3*(B$17)), 10)</f>
        <v>-3.6510192529741339</v>
      </c>
      <c r="C25" s="2">
        <f t="shared" ref="C25:I25" si="4">20*LOG(((C14)*C$6)/(C3*(C$17)), 10)</f>
        <v>-3.6930846547336129</v>
      </c>
      <c r="D25" s="2">
        <f t="shared" si="4"/>
        <v>-3.7824905625291825</v>
      </c>
      <c r="E25" s="2">
        <f t="shared" si="4"/>
        <v>-3.6507181332350318</v>
      </c>
      <c r="F25" s="2">
        <f t="shared" si="4"/>
        <v>-3.6481154522912624</v>
      </c>
      <c r="G25" s="2">
        <f t="shared" si="4"/>
        <v>-3.6498543319677901</v>
      </c>
      <c r="H25" s="2">
        <f t="shared" si="4"/>
        <v>-3.554630802759799</v>
      </c>
      <c r="I25" s="2">
        <f t="shared" si="4"/>
        <v>-3.5859112832186146</v>
      </c>
      <c r="M25" s="3">
        <v>9.7392220000000005E-3</v>
      </c>
      <c r="N25" s="3">
        <v>9.6926679999999998E-3</v>
      </c>
      <c r="O25" s="3">
        <v>9.6832910000000001E-3</v>
      </c>
      <c r="P25" s="3">
        <v>9.8253079999999996E-3</v>
      </c>
      <c r="Q25" s="3">
        <v>9.7569849999999993E-3</v>
      </c>
      <c r="R25" s="3">
        <v>9.8408239999999998E-3</v>
      </c>
      <c r="S25" s="3">
        <v>9.9364910000000004E-3</v>
      </c>
      <c r="T25" s="3">
        <v>9.8244449999999994E-3</v>
      </c>
    </row>
    <row r="26" spans="1:20" x14ac:dyDescent="0.25">
      <c r="A26">
        <v>60</v>
      </c>
      <c r="B26" s="2">
        <f t="shared" ref="B26:I26" si="5">20*LOG(((B15)*B$6)/(B4*(B$17)), 10)</f>
        <v>-0.7948027564657284</v>
      </c>
      <c r="C26" s="2">
        <f t="shared" si="5"/>
        <v>-0.74926833456755637</v>
      </c>
      <c r="D26" s="2">
        <f t="shared" si="5"/>
        <v>-0.7913932481820265</v>
      </c>
      <c r="E26" s="2">
        <f t="shared" si="5"/>
        <v>-0.74762922422014988</v>
      </c>
      <c r="F26" s="2">
        <f t="shared" si="5"/>
        <v>-0.72286564369283601</v>
      </c>
      <c r="G26" s="2">
        <f t="shared" si="5"/>
        <v>-0.8081595417809937</v>
      </c>
      <c r="H26" s="2">
        <f t="shared" si="5"/>
        <v>-0.67664237700705043</v>
      </c>
      <c r="I26" s="2">
        <f t="shared" si="5"/>
        <v>-0.67245039490899827</v>
      </c>
      <c r="M26" s="3">
        <v>1.3521164E-2</v>
      </c>
      <c r="N26" s="3">
        <v>1.3509754000000001E-2</v>
      </c>
      <c r="O26" s="3">
        <v>1.3502767000000001E-2</v>
      </c>
      <c r="P26" s="3">
        <v>1.3554392E-2</v>
      </c>
      <c r="Q26" s="3">
        <v>1.3512667000000001E-2</v>
      </c>
      <c r="R26" s="3">
        <v>1.3557862E-2</v>
      </c>
      <c r="S26" s="3">
        <v>1.3656359E-2</v>
      </c>
      <c r="T26" s="3">
        <v>1.3682948E-2</v>
      </c>
    </row>
    <row r="27" spans="1:20" x14ac:dyDescent="0.25">
      <c r="A27">
        <v>70</v>
      </c>
      <c r="B27" s="2">
        <f t="shared" ref="B27:I27" si="6">20*LOG(((B16)*B$6)/(B5*(B$17)), 10)</f>
        <v>-9.8495120483395121E-2</v>
      </c>
      <c r="C27" s="2">
        <f t="shared" si="6"/>
        <v>-4.309407385632423E-2</v>
      </c>
      <c r="D27" s="2">
        <f t="shared" si="6"/>
        <v>-6.3911192886027354E-2</v>
      </c>
      <c r="E27" s="2">
        <f t="shared" si="6"/>
        <v>-5.6214026202694105E-2</v>
      </c>
      <c r="F27" s="2">
        <f t="shared" si="6"/>
        <v>-5.7661564756208206E-2</v>
      </c>
      <c r="G27" s="2">
        <f t="shared" si="6"/>
        <v>-6.9782337642626077E-2</v>
      </c>
      <c r="H27" s="2">
        <f t="shared" si="6"/>
        <v>1.8277064370483046E-2</v>
      </c>
      <c r="I27" s="2">
        <f t="shared" si="6"/>
        <v>2.7735815826397489E-2</v>
      </c>
      <c r="M27" s="3">
        <v>1.4656371E-2</v>
      </c>
      <c r="N27" s="3">
        <v>1.4689580000000001E-2</v>
      </c>
      <c r="O27" s="3">
        <v>1.4700311000000001E-2</v>
      </c>
      <c r="P27" s="3">
        <v>1.4688962E-2</v>
      </c>
      <c r="Q27" s="3">
        <v>1.4722381999999999E-2</v>
      </c>
      <c r="R27" s="3">
        <v>1.4728161E-2</v>
      </c>
      <c r="S27" s="3">
        <v>1.4833964999999999E-2</v>
      </c>
      <c r="T27" s="3">
        <v>1.4792021000000001E-2</v>
      </c>
    </row>
    <row r="28" spans="1:20" x14ac:dyDescent="0.25">
      <c r="A28">
        <v>100</v>
      </c>
      <c r="B28" s="2">
        <f t="shared" ref="B28:I28" si="7">20*LOG(((B17)*B$6)/(B6*(B$17)), 10)</f>
        <v>0</v>
      </c>
      <c r="C28" s="2">
        <f t="shared" si="7"/>
        <v>0</v>
      </c>
      <c r="D28" s="2">
        <f t="shared" si="7"/>
        <v>0</v>
      </c>
      <c r="E28" s="2">
        <f t="shared" si="7"/>
        <v>0</v>
      </c>
      <c r="F28" s="2">
        <f t="shared" si="7"/>
        <v>0</v>
      </c>
      <c r="G28" s="2">
        <f t="shared" si="7"/>
        <v>0</v>
      </c>
      <c r="H28" s="2">
        <f t="shared" si="7"/>
        <v>0</v>
      </c>
      <c r="I28" s="2">
        <f t="shared" si="7"/>
        <v>0</v>
      </c>
      <c r="M28" s="3">
        <v>1.4940078000000001E-2</v>
      </c>
      <c r="N28" s="3">
        <v>1.4903112E-2</v>
      </c>
      <c r="O28" s="3">
        <v>1.4896120000000001E-2</v>
      </c>
      <c r="P28" s="3">
        <v>1.4899880000000001E-2</v>
      </c>
      <c r="Q28" s="3">
        <v>1.4895815E-2</v>
      </c>
      <c r="R28" s="3">
        <v>1.4916688000000001E-2</v>
      </c>
      <c r="S28" s="3">
        <v>1.4942001E-2</v>
      </c>
      <c r="T28" s="3">
        <v>1.4939419000000001E-2</v>
      </c>
    </row>
    <row r="29" spans="1:20" x14ac:dyDescent="0.25">
      <c r="A29">
        <v>140</v>
      </c>
      <c r="B29" s="2">
        <f t="shared" ref="B29:I29" si="8">20*LOG(((B18)*B$6)/(B7*(B$17)), 10)</f>
        <v>-6.724316632820479E-2</v>
      </c>
      <c r="C29" s="2">
        <f t="shared" si="8"/>
        <v>-0.17028685244371955</v>
      </c>
      <c r="D29" s="2">
        <f t="shared" si="8"/>
        <v>-0.1539551202770901</v>
      </c>
      <c r="E29" s="2">
        <f t="shared" si="8"/>
        <v>-6.9981217836276199E-2</v>
      </c>
      <c r="F29" s="2">
        <f t="shared" si="8"/>
        <v>-0.14847799092633257</v>
      </c>
      <c r="G29" s="2">
        <f t="shared" si="8"/>
        <v>-0.16832857736849083</v>
      </c>
      <c r="H29" s="2">
        <f t="shared" si="8"/>
        <v>-0.15866279422493373</v>
      </c>
      <c r="I29" s="2">
        <f t="shared" si="8"/>
        <v>-0.17949301258916359</v>
      </c>
      <c r="M29" s="3">
        <v>1.4722702000000001E-2</v>
      </c>
      <c r="N29" s="3">
        <v>1.4605903E-2</v>
      </c>
      <c r="O29" s="3">
        <v>1.4687578E-2</v>
      </c>
      <c r="P29" s="3">
        <v>1.474457E-2</v>
      </c>
      <c r="Q29" s="3">
        <v>1.4672409000000001E-2</v>
      </c>
      <c r="R29" s="3">
        <v>1.4688984E-2</v>
      </c>
      <c r="S29" s="3">
        <v>1.4689661E-2</v>
      </c>
      <c r="T29" s="3">
        <v>1.4645182E-2</v>
      </c>
    </row>
    <row r="30" spans="1:20" x14ac:dyDescent="0.25">
      <c r="A30">
        <v>180</v>
      </c>
      <c r="B30" s="2">
        <f t="shared" ref="B30:I30" si="9">20*LOG(((B19)*B$6)/(B8*(B$17)), 10)</f>
        <v>-0.13919034560425678</v>
      </c>
      <c r="C30" s="2">
        <f t="shared" si="9"/>
        <v>-0.29906876733208182</v>
      </c>
      <c r="D30" s="2">
        <f t="shared" si="9"/>
        <v>-0.281851035120883</v>
      </c>
      <c r="E30" s="2">
        <f t="shared" si="9"/>
        <v>-8.0054758008378218E-2</v>
      </c>
      <c r="F30" s="2">
        <f t="shared" si="9"/>
        <v>-0.25392265420455379</v>
      </c>
      <c r="G30" s="2">
        <f t="shared" si="9"/>
        <v>-0.27556551864521317</v>
      </c>
      <c r="H30" s="2">
        <f t="shared" si="9"/>
        <v>-0.24278145555357367</v>
      </c>
      <c r="I30" s="2">
        <f t="shared" si="9"/>
        <v>-0.31804338314418445</v>
      </c>
      <c r="M30" s="3">
        <v>1.4537194999999999E-2</v>
      </c>
      <c r="N30" s="3">
        <v>1.4425596000000001E-2</v>
      </c>
      <c r="O30" s="3">
        <v>1.4420534E-2</v>
      </c>
      <c r="P30" s="3">
        <v>1.4598710000000001E-2</v>
      </c>
      <c r="Q30" s="3">
        <v>1.4435475999999999E-2</v>
      </c>
      <c r="R30" s="3">
        <v>1.4439664E-2</v>
      </c>
      <c r="S30" s="3">
        <v>1.4436869999999999E-2</v>
      </c>
      <c r="T30" s="3">
        <v>1.4366103999999999E-2</v>
      </c>
    </row>
    <row r="31" spans="1:20" x14ac:dyDescent="0.25">
      <c r="A31">
        <v>210</v>
      </c>
      <c r="B31" s="2">
        <f t="shared" ref="B31:I31" si="10">20*LOG(((B20)*B$6)/(B9*(B$17)), 10)</f>
        <v>-0.50022317420723517</v>
      </c>
      <c r="C31" s="2">
        <f t="shared" si="10"/>
        <v>-0.63297739769491146</v>
      </c>
      <c r="D31" s="2">
        <f t="shared" si="10"/>
        <v>-0.63517861293090505</v>
      </c>
      <c r="E31" s="2">
        <f t="shared" si="10"/>
        <v>-0.43412412662636374</v>
      </c>
      <c r="F31" s="2">
        <f t="shared" si="10"/>
        <v>-0.5907537946298751</v>
      </c>
      <c r="G31" s="2">
        <f t="shared" si="10"/>
        <v>-0.67976711585934535</v>
      </c>
      <c r="H31" s="2">
        <f t="shared" si="10"/>
        <v>-0.65732108099221265</v>
      </c>
      <c r="I31" s="2">
        <f t="shared" si="10"/>
        <v>-0.68318106497763154</v>
      </c>
      <c r="M31" s="3">
        <v>1.3874345E-2</v>
      </c>
      <c r="N31" s="3">
        <v>1.3795257E-2</v>
      </c>
      <c r="O31" s="3">
        <v>1.3789627E-2</v>
      </c>
      <c r="P31" s="3">
        <v>1.4012739999999999E-2</v>
      </c>
      <c r="Q31" s="3">
        <v>1.3801658E-2</v>
      </c>
      <c r="R31" s="3">
        <v>1.3751288E-2</v>
      </c>
      <c r="S31" s="3">
        <v>1.3805642999999999E-2</v>
      </c>
      <c r="T31" s="3">
        <v>1.3707453E-2</v>
      </c>
    </row>
    <row r="32" spans="1:20" x14ac:dyDescent="0.25">
      <c r="A32">
        <v>250</v>
      </c>
      <c r="B32" s="2">
        <f t="shared" ref="B32:I32" si="11">20*LOG(((B21)*B$6)/(B10*(B$17)), 10)</f>
        <v>-2.3086245896261097</v>
      </c>
      <c r="C32" s="2">
        <f t="shared" si="11"/>
        <v>-2.3363074072849175</v>
      </c>
      <c r="D32" s="2">
        <f t="shared" si="11"/>
        <v>-2.383837588874393</v>
      </c>
      <c r="E32" s="2">
        <f t="shared" si="11"/>
        <v>-2.1027356859932094</v>
      </c>
      <c r="F32" s="2">
        <f t="shared" si="11"/>
        <v>-2.3201616210964069</v>
      </c>
      <c r="G32" s="2">
        <f t="shared" si="11"/>
        <v>-2.4509203789359679</v>
      </c>
      <c r="H32" s="2">
        <f t="shared" si="11"/>
        <v>-2.4013473382436485</v>
      </c>
      <c r="I32" s="2">
        <f t="shared" si="11"/>
        <v>-2.4441425704195723</v>
      </c>
      <c r="M32" s="3">
        <v>1.1209828999999999E-2</v>
      </c>
      <c r="N32" s="3">
        <v>1.1263472E-2</v>
      </c>
      <c r="O32" s="3">
        <v>1.1166921999999999E-2</v>
      </c>
      <c r="P32" s="3">
        <v>1.1460118E-2</v>
      </c>
      <c r="Q32" s="3">
        <v>1.1244463E-2</v>
      </c>
      <c r="R32" s="3">
        <v>1.1107272E-2</v>
      </c>
      <c r="S32" s="3">
        <v>1.1206143999999999E-2</v>
      </c>
      <c r="T32" s="3">
        <v>1.1116256E-2</v>
      </c>
    </row>
    <row r="33" spans="1:20" x14ac:dyDescent="0.25">
      <c r="M33" s="3">
        <v>1.5364991E-2</v>
      </c>
      <c r="N33" s="3">
        <v>1.5212253E-2</v>
      </c>
      <c r="O33" s="3">
        <v>1.5245514999999999E-2</v>
      </c>
      <c r="P33" s="3">
        <v>1.5310472E-2</v>
      </c>
      <c r="Q33" s="3">
        <v>1.5230541E-2</v>
      </c>
      <c r="R33" s="3">
        <v>1.5342536E-2</v>
      </c>
      <c r="S33" s="3">
        <v>1.5106544E-2</v>
      </c>
      <c r="T33" s="3">
        <v>1.5176354E-2</v>
      </c>
    </row>
    <row r="34" spans="1:20" x14ac:dyDescent="0.25">
      <c r="M34" s="3">
        <v>1.5263607E-2</v>
      </c>
      <c r="N34" s="3">
        <v>1.5078693000000001E-2</v>
      </c>
      <c r="O34" s="3">
        <v>1.5123292999999999E-2</v>
      </c>
      <c r="P34" s="3">
        <v>1.5232614E-2</v>
      </c>
      <c r="Q34" s="3">
        <v>1.5132318000000001E-2</v>
      </c>
      <c r="R34" s="3">
        <v>1.5243675999999999E-2</v>
      </c>
      <c r="S34" s="3">
        <v>1.5021514999999999E-2</v>
      </c>
      <c r="T34" s="3">
        <v>1.5077962E-2</v>
      </c>
    </row>
    <row r="35" spans="1:20" x14ac:dyDescent="0.25">
      <c r="A35" s="4" t="s">
        <v>5</v>
      </c>
      <c r="B35" s="4"/>
      <c r="C35" s="4"/>
      <c r="D35" s="4"/>
      <c r="E35" s="4"/>
      <c r="F35" s="4"/>
      <c r="G35" s="4"/>
      <c r="H35" s="4"/>
      <c r="I35" s="4"/>
      <c r="M35" s="3">
        <v>1.5291971E-2</v>
      </c>
      <c r="N35" s="3">
        <v>1.5118056E-2</v>
      </c>
      <c r="O35" s="3">
        <v>1.5153069999999999E-2</v>
      </c>
      <c r="P35" s="3">
        <v>1.5277394999999999E-2</v>
      </c>
      <c r="Q35" s="3">
        <v>1.5174701000000001E-2</v>
      </c>
      <c r="R35" s="3">
        <v>1.5266620999999999E-2</v>
      </c>
      <c r="S35" s="3">
        <v>1.5092365999999999E-2</v>
      </c>
      <c r="T35" s="3">
        <v>1.5140532999999999E-2</v>
      </c>
    </row>
    <row r="36" spans="1:20" x14ac:dyDescent="0.25">
      <c r="A36" t="s">
        <v>1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M36" s="3">
        <v>1.5386696E-2</v>
      </c>
      <c r="N36" s="3">
        <v>1.528419E-2</v>
      </c>
      <c r="O36" s="3">
        <v>1.5296255999999999E-2</v>
      </c>
      <c r="P36" s="3">
        <v>1.5384824E-2</v>
      </c>
      <c r="Q36" s="3">
        <v>1.531239E-2</v>
      </c>
      <c r="R36" s="3">
        <v>1.5371806E-2</v>
      </c>
      <c r="S36" s="3">
        <v>1.5277892E-2</v>
      </c>
      <c r="T36" s="3">
        <v>1.5328534E-2</v>
      </c>
    </row>
    <row r="37" spans="1:20" x14ac:dyDescent="0.25">
      <c r="A37">
        <v>50</v>
      </c>
      <c r="B37" s="1">
        <f t="shared" ref="B37:I44" si="12">M17</f>
        <v>1.537171E-2</v>
      </c>
      <c r="C37" s="1">
        <f t="shared" si="12"/>
        <v>1.5220595999999999E-2</v>
      </c>
      <c r="D37" s="1">
        <f t="shared" si="12"/>
        <v>1.525495E-2</v>
      </c>
      <c r="E37" s="1">
        <f t="shared" si="12"/>
        <v>1.531502E-2</v>
      </c>
      <c r="F37" s="1">
        <f t="shared" si="12"/>
        <v>1.5240757000000001E-2</v>
      </c>
      <c r="G37" s="1">
        <f t="shared" si="12"/>
        <v>1.5349572000000001E-2</v>
      </c>
      <c r="H37" s="1">
        <f t="shared" si="12"/>
        <v>1.5112265999999999E-2</v>
      </c>
      <c r="I37" s="1">
        <f t="shared" si="12"/>
        <v>1.5186079E-2</v>
      </c>
      <c r="M37" s="3">
        <v>1.5416226999999999E-2</v>
      </c>
      <c r="N37" s="3">
        <v>1.5356242000000001E-2</v>
      </c>
      <c r="O37" s="3">
        <v>1.5365182E-2</v>
      </c>
      <c r="P37" s="3">
        <v>1.5418064E-2</v>
      </c>
      <c r="Q37" s="3">
        <v>1.5372701000000001E-2</v>
      </c>
      <c r="R37" s="3">
        <v>1.5414761000000001E-2</v>
      </c>
      <c r="S37" s="3">
        <v>1.5351508999999999E-2</v>
      </c>
      <c r="T37" s="3">
        <v>1.5399862E-2</v>
      </c>
    </row>
    <row r="38" spans="1:20" x14ac:dyDescent="0.25">
      <c r="A38">
        <v>60</v>
      </c>
      <c r="B38" s="1">
        <f t="shared" si="12"/>
        <v>1.5276534E-2</v>
      </c>
      <c r="C38" s="1">
        <f t="shared" si="12"/>
        <v>1.5087961E-2</v>
      </c>
      <c r="D38" s="1">
        <f t="shared" si="12"/>
        <v>1.5130219E-2</v>
      </c>
      <c r="E38" s="1">
        <f t="shared" si="12"/>
        <v>1.5238064000000001E-2</v>
      </c>
      <c r="F38" s="1">
        <f t="shared" si="12"/>
        <v>1.5142933000000001E-2</v>
      </c>
      <c r="G38" s="1">
        <f t="shared" si="12"/>
        <v>1.524578E-2</v>
      </c>
      <c r="H38" s="1">
        <f t="shared" si="12"/>
        <v>1.5029307E-2</v>
      </c>
      <c r="I38" s="1">
        <f t="shared" si="12"/>
        <v>1.5083549999999999E-2</v>
      </c>
      <c r="M38" s="3">
        <v>1.5432939E-2</v>
      </c>
      <c r="N38" s="3">
        <v>1.5383913000000001E-2</v>
      </c>
      <c r="O38" s="3">
        <v>1.5398755E-2</v>
      </c>
      <c r="P38" s="3">
        <v>1.5435116E-2</v>
      </c>
      <c r="Q38" s="3">
        <v>1.5395997E-2</v>
      </c>
      <c r="R38" s="3">
        <v>1.5437895E-2</v>
      </c>
      <c r="S38" s="3">
        <v>1.5379514E-2</v>
      </c>
      <c r="T38" s="3">
        <v>1.5430251000000001E-2</v>
      </c>
    </row>
    <row r="39" spans="1:20" x14ac:dyDescent="0.25">
      <c r="A39">
        <v>70</v>
      </c>
      <c r="B39" s="1">
        <f t="shared" si="12"/>
        <v>1.5302912E-2</v>
      </c>
      <c r="C39" s="1">
        <f t="shared" si="12"/>
        <v>1.5126651E-2</v>
      </c>
      <c r="D39" s="1">
        <f t="shared" si="12"/>
        <v>1.5161286E-2</v>
      </c>
      <c r="E39" s="1">
        <f t="shared" si="12"/>
        <v>1.5284514000000001E-2</v>
      </c>
      <c r="F39" s="1">
        <f t="shared" si="12"/>
        <v>1.5189166E-2</v>
      </c>
      <c r="G39" s="1">
        <f t="shared" si="12"/>
        <v>1.5273745E-2</v>
      </c>
      <c r="H39" s="1">
        <f t="shared" si="12"/>
        <v>1.5102295999999999E-2</v>
      </c>
      <c r="I39" s="1">
        <f t="shared" si="12"/>
        <v>1.5153955E-2</v>
      </c>
      <c r="M39" s="3">
        <v>1.5458361E-2</v>
      </c>
      <c r="N39" s="3">
        <v>1.5422467E-2</v>
      </c>
      <c r="O39" s="3">
        <v>1.5435766E-2</v>
      </c>
      <c r="P39" s="3">
        <v>1.5464623E-2</v>
      </c>
      <c r="Q39" s="3">
        <v>1.5431321E-2</v>
      </c>
      <c r="R39" s="3">
        <v>1.5465848000000001E-2</v>
      </c>
      <c r="S39" s="3">
        <v>1.5410093E-2</v>
      </c>
      <c r="T39" s="3">
        <v>1.5461403E-2</v>
      </c>
    </row>
    <row r="40" spans="1:20" x14ac:dyDescent="0.25">
      <c r="A40">
        <v>100</v>
      </c>
      <c r="B40" s="1">
        <f t="shared" si="12"/>
        <v>1.54001E-2</v>
      </c>
      <c r="C40" s="1">
        <f t="shared" si="12"/>
        <v>1.5298915E-2</v>
      </c>
      <c r="D40" s="1">
        <f t="shared" si="12"/>
        <v>1.5308646E-2</v>
      </c>
      <c r="E40" s="1">
        <f t="shared" si="12"/>
        <v>1.5401229000000001E-2</v>
      </c>
      <c r="F40" s="1">
        <f t="shared" si="12"/>
        <v>1.5331348E-2</v>
      </c>
      <c r="G40" s="1">
        <f t="shared" si="12"/>
        <v>1.5385831000000001E-2</v>
      </c>
      <c r="H40" s="1">
        <f t="shared" si="12"/>
        <v>1.5289560000000001E-2</v>
      </c>
      <c r="I40" s="1">
        <f t="shared" si="12"/>
        <v>1.5340433000000001E-2</v>
      </c>
      <c r="M40" s="3">
        <v>1.5474115E-2</v>
      </c>
      <c r="N40" s="3">
        <v>1.5436159E-2</v>
      </c>
      <c r="O40" s="3">
        <v>1.5453435E-2</v>
      </c>
      <c r="P40" s="3">
        <v>1.5475342E-2</v>
      </c>
      <c r="Q40" s="3">
        <v>1.5446117000000001E-2</v>
      </c>
      <c r="R40" s="3">
        <v>1.5482644E-2</v>
      </c>
      <c r="S40" s="3">
        <v>1.543079E-2</v>
      </c>
      <c r="T40" s="3">
        <v>1.5478779999999999E-2</v>
      </c>
    </row>
    <row r="41" spans="1:20" x14ac:dyDescent="0.25">
      <c r="A41">
        <v>140</v>
      </c>
      <c r="B41" s="1">
        <f t="shared" si="12"/>
        <v>1.5430304000000001E-2</v>
      </c>
      <c r="C41" s="1">
        <f t="shared" si="12"/>
        <v>1.5369900000000001E-2</v>
      </c>
      <c r="D41" s="1">
        <f t="shared" si="12"/>
        <v>1.5375969999999999E-2</v>
      </c>
      <c r="E41" s="1">
        <f t="shared" si="12"/>
        <v>1.5434552000000001E-2</v>
      </c>
      <c r="F41" s="1">
        <f t="shared" si="12"/>
        <v>1.5383864000000001E-2</v>
      </c>
      <c r="G41" s="1">
        <f t="shared" si="12"/>
        <v>1.5428333000000001E-2</v>
      </c>
      <c r="H41" s="1">
        <f t="shared" si="12"/>
        <v>1.5360229E-2</v>
      </c>
      <c r="I41" s="1">
        <f t="shared" si="12"/>
        <v>1.5415059E-2</v>
      </c>
      <c r="M41" s="3">
        <v>4.8829499999999998E-2</v>
      </c>
      <c r="N41" s="3">
        <v>4.8345774000000001E-2</v>
      </c>
      <c r="O41" s="3">
        <v>4.8113695999999997E-2</v>
      </c>
      <c r="P41" s="3">
        <v>4.8806503000000001E-2</v>
      </c>
      <c r="Q41" s="3">
        <v>4.8506524000000002E-2</v>
      </c>
      <c r="R41" s="3">
        <v>4.8574570999999997E-2</v>
      </c>
      <c r="S41" s="3">
        <v>4.8942260000000001E-2</v>
      </c>
      <c r="T41" s="3">
        <v>4.9176365E-2</v>
      </c>
    </row>
    <row r="42" spans="1:20" x14ac:dyDescent="0.25">
      <c r="A42">
        <v>180</v>
      </c>
      <c r="B42" s="1">
        <f t="shared" si="12"/>
        <v>1.5446207999999999E-2</v>
      </c>
      <c r="C42" s="1">
        <f t="shared" si="12"/>
        <v>1.5399919999999999E-2</v>
      </c>
      <c r="D42" s="1">
        <f t="shared" si="12"/>
        <v>1.5410881E-2</v>
      </c>
      <c r="E42" s="1">
        <f t="shared" si="12"/>
        <v>1.5451395E-2</v>
      </c>
      <c r="F42" s="1">
        <f t="shared" si="12"/>
        <v>1.5409291E-2</v>
      </c>
      <c r="G42" s="1">
        <f t="shared" si="12"/>
        <v>1.5451507999999999E-2</v>
      </c>
      <c r="H42" s="1">
        <f t="shared" si="12"/>
        <v>1.5392539E-2</v>
      </c>
      <c r="I42" s="1">
        <f t="shared" si="12"/>
        <v>1.5444571000000001E-2</v>
      </c>
      <c r="M42" s="3">
        <v>6.7165694999999997E-2</v>
      </c>
      <c r="N42" s="3">
        <v>6.7156515999999999E-2</v>
      </c>
      <c r="O42" s="3">
        <v>6.6872925E-2</v>
      </c>
      <c r="P42" s="3">
        <v>6.7651956999999999E-2</v>
      </c>
      <c r="Q42" s="3">
        <v>6.7152492999999994E-2</v>
      </c>
      <c r="R42" s="3">
        <v>6.7042432999999998E-2</v>
      </c>
      <c r="S42" s="3">
        <v>6.7812501999999997E-2</v>
      </c>
      <c r="T42" s="3">
        <v>6.8044059000000004E-2</v>
      </c>
    </row>
    <row r="43" spans="1:20" x14ac:dyDescent="0.25">
      <c r="A43">
        <v>210</v>
      </c>
      <c r="B43" s="1">
        <f t="shared" si="12"/>
        <v>1.5476652E-2</v>
      </c>
      <c r="C43" s="1">
        <f t="shared" si="12"/>
        <v>1.5433664999999999E-2</v>
      </c>
      <c r="D43" s="1">
        <f t="shared" si="12"/>
        <v>1.5447400999999999E-2</v>
      </c>
      <c r="E43" s="1">
        <f t="shared" si="12"/>
        <v>1.5478057999999999E-2</v>
      </c>
      <c r="F43" s="1">
        <f t="shared" si="12"/>
        <v>1.54436E-2</v>
      </c>
      <c r="G43" s="1">
        <f t="shared" si="12"/>
        <v>1.5481340999999999E-2</v>
      </c>
      <c r="H43" s="1">
        <f t="shared" si="12"/>
        <v>1.5429965E-2</v>
      </c>
      <c r="I43" s="1">
        <f t="shared" si="12"/>
        <v>1.5469368000000001E-2</v>
      </c>
      <c r="M43" s="3">
        <v>7.3087201000000004E-2</v>
      </c>
      <c r="N43" s="3">
        <v>7.3272184000000004E-2</v>
      </c>
      <c r="O43" s="3">
        <v>7.2809674000000005E-2</v>
      </c>
      <c r="P43" s="3">
        <v>7.3401794000000006E-2</v>
      </c>
      <c r="Q43" s="3">
        <v>7.3207773000000004E-2</v>
      </c>
      <c r="R43" s="3">
        <v>7.2836310000000001E-2</v>
      </c>
      <c r="S43" s="3">
        <v>7.3530159999999997E-2</v>
      </c>
      <c r="T43" s="3">
        <v>7.3546349999999996E-2</v>
      </c>
    </row>
    <row r="44" spans="1:20" x14ac:dyDescent="0.25">
      <c r="A44">
        <v>250</v>
      </c>
      <c r="B44" s="1">
        <f t="shared" si="12"/>
        <v>1.5481933999999999E-2</v>
      </c>
      <c r="C44" s="1">
        <f t="shared" si="12"/>
        <v>1.5444373000000001E-2</v>
      </c>
      <c r="D44" s="1">
        <f t="shared" si="12"/>
        <v>1.5460544E-2</v>
      </c>
      <c r="E44" s="1">
        <f t="shared" si="12"/>
        <v>1.5483986E-2</v>
      </c>
      <c r="F44" s="1">
        <f t="shared" si="12"/>
        <v>1.5453415999999999E-2</v>
      </c>
      <c r="G44" s="1">
        <f t="shared" si="12"/>
        <v>1.5491134E-2</v>
      </c>
      <c r="H44" s="1">
        <f t="shared" si="12"/>
        <v>1.543623E-2</v>
      </c>
      <c r="I44" s="1">
        <f t="shared" si="12"/>
        <v>1.548588E-2</v>
      </c>
      <c r="M44" s="3">
        <v>7.4561163999999999E-2</v>
      </c>
      <c r="N44" s="3">
        <v>7.4071004999999995E-2</v>
      </c>
      <c r="O44" s="3">
        <v>7.4062839000000005E-2</v>
      </c>
      <c r="P44" s="3">
        <v>7.4305385000000002E-2</v>
      </c>
      <c r="Q44" s="3">
        <v>7.4136964999999999E-2</v>
      </c>
      <c r="R44" s="3">
        <v>7.3857188000000004E-2</v>
      </c>
      <c r="S44" s="3">
        <v>7.4293256000000002E-2</v>
      </c>
      <c r="T44" s="3">
        <v>7.4216239000000003E-2</v>
      </c>
    </row>
    <row r="45" spans="1:20" x14ac:dyDescent="0.25">
      <c r="M45" s="3">
        <v>7.3737345999999995E-2</v>
      </c>
      <c r="N45" s="3">
        <v>7.3081136000000005E-2</v>
      </c>
      <c r="O45" s="3">
        <v>7.3108121999999998E-2</v>
      </c>
      <c r="P45" s="3">
        <v>7.3708676000000001E-2</v>
      </c>
      <c r="Q45" s="3">
        <v>7.3098927999999994E-2</v>
      </c>
      <c r="R45" s="3">
        <v>7.3057324000000007E-2</v>
      </c>
      <c r="S45" s="3">
        <v>7.3199920000000002E-2</v>
      </c>
      <c r="T45" s="3">
        <v>7.2974025999999997E-2</v>
      </c>
    </row>
    <row r="46" spans="1:20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  <c r="M46" s="3">
        <v>7.3021113999999998E-2</v>
      </c>
      <c r="N46" s="3">
        <v>7.2269976E-2</v>
      </c>
      <c r="O46" s="3">
        <v>7.2029917999999998E-2</v>
      </c>
      <c r="P46" s="3">
        <v>7.3393299999999995E-2</v>
      </c>
      <c r="Q46" s="3">
        <v>7.2220184000000007E-2</v>
      </c>
      <c r="R46" s="3">
        <v>7.1956596999999997E-2</v>
      </c>
      <c r="S46" s="3">
        <v>7.2313681000000005E-2</v>
      </c>
      <c r="T46" s="3">
        <v>7.1914381999999999E-2</v>
      </c>
    </row>
    <row r="47" spans="1:20" x14ac:dyDescent="0.25">
      <c r="A47" t="s">
        <v>1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  <c r="M47" s="3">
        <v>7.0084258999999996E-2</v>
      </c>
      <c r="N47" s="3">
        <v>6.9415346000000003E-2</v>
      </c>
      <c r="O47" s="3">
        <v>6.9206662000000002E-2</v>
      </c>
      <c r="P47" s="3">
        <v>7.0685713999999997E-2</v>
      </c>
      <c r="Q47" s="3">
        <v>6.9369897E-2</v>
      </c>
      <c r="R47" s="3">
        <v>6.8763234000000006E-2</v>
      </c>
      <c r="S47" s="3">
        <v>6.9219053000000003E-2</v>
      </c>
      <c r="T47" s="3">
        <v>6.8996452E-2</v>
      </c>
    </row>
    <row r="48" spans="1:20" x14ac:dyDescent="0.25">
      <c r="A48">
        <v>50</v>
      </c>
      <c r="B48" s="1">
        <f t="shared" ref="B48:I55" si="13">M25</f>
        <v>9.7392220000000005E-3</v>
      </c>
      <c r="C48" s="1">
        <f t="shared" si="13"/>
        <v>9.6926679999999998E-3</v>
      </c>
      <c r="D48" s="1">
        <f t="shared" si="13"/>
        <v>9.6832910000000001E-3</v>
      </c>
      <c r="E48" s="1">
        <f t="shared" si="13"/>
        <v>9.8253079999999996E-3</v>
      </c>
      <c r="F48" s="1">
        <f t="shared" si="13"/>
        <v>9.7569849999999993E-3</v>
      </c>
      <c r="G48" s="1">
        <f t="shared" si="13"/>
        <v>9.8408239999999998E-3</v>
      </c>
      <c r="H48" s="1">
        <f t="shared" si="13"/>
        <v>9.9364910000000004E-3</v>
      </c>
      <c r="I48" s="1">
        <f t="shared" si="13"/>
        <v>9.8244449999999994E-3</v>
      </c>
      <c r="M48" s="3">
        <v>5.6911695999999998E-2</v>
      </c>
      <c r="N48" s="3">
        <v>5.7009707999999999E-2</v>
      </c>
      <c r="O48" s="3">
        <v>5.6477338000000002E-2</v>
      </c>
      <c r="P48" s="3">
        <v>5.8397401000000002E-2</v>
      </c>
      <c r="Q48" s="3">
        <v>5.6859634999999999E-2</v>
      </c>
      <c r="R48" s="3">
        <v>5.5951099999999997E-2</v>
      </c>
      <c r="S48" s="3">
        <v>5.6663367999999999E-2</v>
      </c>
      <c r="T48" s="3">
        <v>5.6356705999999999E-2</v>
      </c>
    </row>
    <row r="49" spans="1:20" x14ac:dyDescent="0.25">
      <c r="A49">
        <v>60</v>
      </c>
      <c r="B49" s="1">
        <f t="shared" si="13"/>
        <v>1.3521164E-2</v>
      </c>
      <c r="C49" s="1">
        <f t="shared" si="13"/>
        <v>1.3509754000000001E-2</v>
      </c>
      <c r="D49" s="1">
        <f t="shared" si="13"/>
        <v>1.3502767000000001E-2</v>
      </c>
      <c r="E49" s="1">
        <f t="shared" si="13"/>
        <v>1.3554392E-2</v>
      </c>
      <c r="F49" s="1">
        <f t="shared" si="13"/>
        <v>1.3512667000000001E-2</v>
      </c>
      <c r="G49" s="1">
        <f t="shared" si="13"/>
        <v>1.3557862E-2</v>
      </c>
      <c r="H49" s="1">
        <f t="shared" si="13"/>
        <v>1.3656359E-2</v>
      </c>
      <c r="I49" s="1">
        <f t="shared" si="13"/>
        <v>1.3682948E-2</v>
      </c>
      <c r="M49" s="6">
        <v>1.536471E-2</v>
      </c>
      <c r="N49" s="6">
        <v>1.5210559E-2</v>
      </c>
      <c r="O49" s="6">
        <v>1.5244013000000001E-2</v>
      </c>
      <c r="P49" s="6">
        <v>1.5310315E-2</v>
      </c>
      <c r="Q49" s="6">
        <v>1.5226285000000001E-2</v>
      </c>
      <c r="R49" s="6">
        <v>1.5344086E-2</v>
      </c>
      <c r="S49" s="6">
        <v>1.5106509000000001E-2</v>
      </c>
      <c r="T49" s="6">
        <v>1.5178832E-2</v>
      </c>
    </row>
    <row r="50" spans="1:20" x14ac:dyDescent="0.25">
      <c r="A50">
        <v>70</v>
      </c>
      <c r="B50" s="1">
        <f t="shared" si="13"/>
        <v>1.4656371E-2</v>
      </c>
      <c r="C50" s="1">
        <f t="shared" si="13"/>
        <v>1.4689580000000001E-2</v>
      </c>
      <c r="D50" s="1">
        <f t="shared" si="13"/>
        <v>1.4700311000000001E-2</v>
      </c>
      <c r="E50" s="1">
        <f t="shared" si="13"/>
        <v>1.4688962E-2</v>
      </c>
      <c r="F50" s="1">
        <f t="shared" si="13"/>
        <v>1.4722381999999999E-2</v>
      </c>
      <c r="G50" s="1">
        <f t="shared" si="13"/>
        <v>1.4728161E-2</v>
      </c>
      <c r="H50" s="1">
        <f t="shared" si="13"/>
        <v>1.4833964999999999E-2</v>
      </c>
      <c r="I50" s="1">
        <f t="shared" si="13"/>
        <v>1.4792021000000001E-2</v>
      </c>
      <c r="M50" s="6">
        <v>1.5266025000000001E-2</v>
      </c>
      <c r="N50" s="6">
        <v>1.5074218E-2</v>
      </c>
      <c r="O50" s="6">
        <v>1.5118825000000001E-2</v>
      </c>
      <c r="P50" s="6">
        <v>1.5226236000000001E-2</v>
      </c>
      <c r="Q50" s="6">
        <v>1.5128496E-2</v>
      </c>
      <c r="R50" s="6">
        <v>1.5237949000000001E-2</v>
      </c>
      <c r="S50" s="6">
        <v>1.5021141E-2</v>
      </c>
      <c r="T50" s="6">
        <v>1.507767E-2</v>
      </c>
    </row>
    <row r="51" spans="1:20" x14ac:dyDescent="0.25">
      <c r="A51">
        <v>100</v>
      </c>
      <c r="B51" s="1">
        <f t="shared" si="13"/>
        <v>1.4940078000000001E-2</v>
      </c>
      <c r="C51" s="1">
        <f t="shared" si="13"/>
        <v>1.4903112E-2</v>
      </c>
      <c r="D51" s="1">
        <f t="shared" si="13"/>
        <v>1.4896120000000001E-2</v>
      </c>
      <c r="E51" s="1">
        <f t="shared" si="13"/>
        <v>1.4899880000000001E-2</v>
      </c>
      <c r="F51" s="1">
        <f t="shared" si="13"/>
        <v>1.4895815E-2</v>
      </c>
      <c r="G51" s="1">
        <f t="shared" si="13"/>
        <v>1.4916688000000001E-2</v>
      </c>
      <c r="H51" s="1">
        <f t="shared" si="13"/>
        <v>1.4942001E-2</v>
      </c>
      <c r="I51" s="1">
        <f t="shared" si="13"/>
        <v>1.4939419000000001E-2</v>
      </c>
      <c r="M51" s="6">
        <v>1.5284743999999999E-2</v>
      </c>
      <c r="N51" s="6">
        <v>1.5115571E-2</v>
      </c>
      <c r="O51" s="6">
        <v>1.5146227999999999E-2</v>
      </c>
      <c r="P51" s="6">
        <v>1.5269825000000001E-2</v>
      </c>
      <c r="Q51" s="6">
        <v>1.5171158000000001E-2</v>
      </c>
      <c r="R51" s="6">
        <v>1.5260098999999999E-2</v>
      </c>
      <c r="S51" s="6">
        <v>1.5084669E-2</v>
      </c>
      <c r="T51" s="6">
        <v>1.5136441E-2</v>
      </c>
    </row>
    <row r="52" spans="1:20" x14ac:dyDescent="0.25">
      <c r="A52">
        <v>140</v>
      </c>
      <c r="B52" s="1">
        <f t="shared" si="13"/>
        <v>1.4722702000000001E-2</v>
      </c>
      <c r="C52" s="1">
        <f t="shared" si="13"/>
        <v>1.4605903E-2</v>
      </c>
      <c r="D52" s="1">
        <f t="shared" si="13"/>
        <v>1.4687578E-2</v>
      </c>
      <c r="E52" s="1">
        <f t="shared" si="13"/>
        <v>1.474457E-2</v>
      </c>
      <c r="F52" s="1">
        <f t="shared" si="13"/>
        <v>1.4672409000000001E-2</v>
      </c>
      <c r="G52" s="1">
        <f t="shared" si="13"/>
        <v>1.4688984E-2</v>
      </c>
      <c r="H52" s="1">
        <f t="shared" si="13"/>
        <v>1.4689661E-2</v>
      </c>
      <c r="I52" s="1">
        <f t="shared" si="13"/>
        <v>1.4645182E-2</v>
      </c>
      <c r="M52" s="6">
        <v>1.5379573000000001E-2</v>
      </c>
      <c r="N52" s="6">
        <v>1.5278363999999999E-2</v>
      </c>
      <c r="O52" s="6">
        <v>1.5288717E-2</v>
      </c>
      <c r="P52" s="6">
        <v>1.5377686E-2</v>
      </c>
      <c r="Q52" s="6">
        <v>1.5311058000000001E-2</v>
      </c>
      <c r="R52" s="6">
        <v>1.5362224000000001E-2</v>
      </c>
      <c r="S52" s="6">
        <v>1.5269631000000001E-2</v>
      </c>
      <c r="T52" s="6">
        <v>1.5322463999999999E-2</v>
      </c>
    </row>
    <row r="53" spans="1:20" x14ac:dyDescent="0.25">
      <c r="A53">
        <v>180</v>
      </c>
      <c r="B53" s="1">
        <f t="shared" si="13"/>
        <v>1.4537194999999999E-2</v>
      </c>
      <c r="C53" s="1">
        <f t="shared" si="13"/>
        <v>1.4425596000000001E-2</v>
      </c>
      <c r="D53" s="1">
        <f t="shared" si="13"/>
        <v>1.4420534E-2</v>
      </c>
      <c r="E53" s="1">
        <f t="shared" si="13"/>
        <v>1.4598710000000001E-2</v>
      </c>
      <c r="F53" s="1">
        <f t="shared" si="13"/>
        <v>1.4435475999999999E-2</v>
      </c>
      <c r="G53" s="1">
        <f t="shared" si="13"/>
        <v>1.4439664E-2</v>
      </c>
      <c r="H53" s="1">
        <f t="shared" si="13"/>
        <v>1.4436869999999999E-2</v>
      </c>
      <c r="I53" s="1">
        <f t="shared" si="13"/>
        <v>1.4366103999999999E-2</v>
      </c>
      <c r="M53" s="6">
        <v>1.5408354000000001E-2</v>
      </c>
      <c r="N53" s="6">
        <v>1.5349323E-2</v>
      </c>
      <c r="O53" s="6">
        <v>1.5355280000000001E-2</v>
      </c>
      <c r="P53" s="6">
        <v>1.5411048E-2</v>
      </c>
      <c r="Q53" s="6">
        <v>1.5360232E-2</v>
      </c>
      <c r="R53" s="6">
        <v>1.5405106999999999E-2</v>
      </c>
      <c r="S53" s="6">
        <v>1.5340397E-2</v>
      </c>
      <c r="T53" s="6">
        <v>1.5388737E-2</v>
      </c>
    </row>
    <row r="54" spans="1:20" x14ac:dyDescent="0.25">
      <c r="A54">
        <v>210</v>
      </c>
      <c r="B54" s="1">
        <f t="shared" si="13"/>
        <v>1.3874345E-2</v>
      </c>
      <c r="C54" s="1">
        <f t="shared" si="13"/>
        <v>1.3795257E-2</v>
      </c>
      <c r="D54" s="1">
        <f t="shared" si="13"/>
        <v>1.3789627E-2</v>
      </c>
      <c r="E54" s="1">
        <f t="shared" si="13"/>
        <v>1.4012739999999999E-2</v>
      </c>
      <c r="F54" s="1">
        <f t="shared" si="13"/>
        <v>1.3801658E-2</v>
      </c>
      <c r="G54" s="1">
        <f t="shared" si="13"/>
        <v>1.3751288E-2</v>
      </c>
      <c r="H54" s="1">
        <f t="shared" si="13"/>
        <v>1.3805642999999999E-2</v>
      </c>
      <c r="I54" s="1">
        <f t="shared" si="13"/>
        <v>1.3707453E-2</v>
      </c>
      <c r="M54" s="6">
        <v>1.5419867E-2</v>
      </c>
      <c r="N54" s="6">
        <v>1.5376762E-2</v>
      </c>
      <c r="O54" s="6">
        <v>1.5389053999999999E-2</v>
      </c>
      <c r="P54" s="6">
        <v>1.5424853000000001E-2</v>
      </c>
      <c r="Q54" s="6">
        <v>1.5387091E-2</v>
      </c>
      <c r="R54" s="6">
        <v>1.5423394E-2</v>
      </c>
      <c r="S54" s="6">
        <v>1.5369657E-2</v>
      </c>
      <c r="T54" s="6">
        <v>1.5419377999999999E-2</v>
      </c>
    </row>
    <row r="55" spans="1:20" x14ac:dyDescent="0.25">
      <c r="A55">
        <v>250</v>
      </c>
      <c r="B55" s="1">
        <f t="shared" si="13"/>
        <v>1.1209828999999999E-2</v>
      </c>
      <c r="C55" s="1">
        <f t="shared" si="13"/>
        <v>1.1263472E-2</v>
      </c>
      <c r="D55" s="1">
        <f t="shared" si="13"/>
        <v>1.1166921999999999E-2</v>
      </c>
      <c r="E55" s="1">
        <f t="shared" si="13"/>
        <v>1.1460118E-2</v>
      </c>
      <c r="F55" s="1">
        <f t="shared" si="13"/>
        <v>1.1244463E-2</v>
      </c>
      <c r="G55" s="1">
        <f t="shared" si="13"/>
        <v>1.1107272E-2</v>
      </c>
      <c r="H55" s="1">
        <f t="shared" si="13"/>
        <v>1.1206143999999999E-2</v>
      </c>
      <c r="I55" s="1">
        <f t="shared" si="13"/>
        <v>1.1116256E-2</v>
      </c>
      <c r="M55" s="6">
        <v>1.5449305999999999E-2</v>
      </c>
      <c r="N55" s="6">
        <v>1.5412252E-2</v>
      </c>
      <c r="O55" s="6">
        <v>1.5422458E-2</v>
      </c>
      <c r="P55" s="6">
        <v>1.5446856E-2</v>
      </c>
      <c r="Q55" s="6">
        <v>1.5416503999999999E-2</v>
      </c>
      <c r="R55" s="6">
        <v>1.545065E-2</v>
      </c>
      <c r="S55" s="6">
        <v>1.5400581999999999E-2</v>
      </c>
      <c r="T55" s="6">
        <v>1.5447344E-2</v>
      </c>
    </row>
    <row r="56" spans="1:20" x14ac:dyDescent="0.25">
      <c r="M56" s="6">
        <v>1.5461569999999999E-2</v>
      </c>
      <c r="N56" s="6">
        <v>1.5424524E-2</v>
      </c>
      <c r="O56" s="6">
        <v>1.5440285999999999E-2</v>
      </c>
      <c r="P56" s="6">
        <v>1.5463564000000001E-2</v>
      </c>
      <c r="Q56" s="6">
        <v>1.5432955E-2</v>
      </c>
      <c r="R56" s="6">
        <v>1.5467687000000001E-2</v>
      </c>
      <c r="S56" s="6">
        <v>1.5418434999999999E-2</v>
      </c>
      <c r="T56" s="6">
        <v>1.5466616000000001E-2</v>
      </c>
    </row>
    <row r="57" spans="1:20" x14ac:dyDescent="0.25">
      <c r="A57" s="5" t="s">
        <v>7</v>
      </c>
      <c r="B57" s="5"/>
      <c r="C57" s="5"/>
      <c r="D57" s="5"/>
      <c r="E57" s="5"/>
      <c r="F57" s="5"/>
      <c r="G57" s="5"/>
      <c r="H57" s="5"/>
      <c r="I57" s="5"/>
      <c r="M57" s="6">
        <v>4.9426649000000003E-2</v>
      </c>
      <c r="N57" s="6">
        <v>4.8979606000000002E-2</v>
      </c>
      <c r="O57" s="6">
        <v>4.9054648999999999E-2</v>
      </c>
      <c r="P57" s="6">
        <v>4.9213156000000001E-2</v>
      </c>
      <c r="Q57" s="6">
        <v>4.9667696999999997E-2</v>
      </c>
      <c r="R57" s="6">
        <v>4.9568839000000003E-2</v>
      </c>
      <c r="S57" s="6">
        <v>5.0062321E-2</v>
      </c>
      <c r="T57" s="6">
        <v>4.9680850999999998E-2</v>
      </c>
    </row>
    <row r="58" spans="1:20" x14ac:dyDescent="0.25">
      <c r="A58" t="s">
        <v>0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  <c r="M58" s="6">
        <v>6.7824692000000006E-2</v>
      </c>
      <c r="N58" s="6">
        <v>6.8402096999999995E-2</v>
      </c>
      <c r="O58" s="6">
        <v>6.7922883000000003E-2</v>
      </c>
      <c r="P58" s="6">
        <v>6.8258181000000001E-2</v>
      </c>
      <c r="Q58" s="6">
        <v>6.8326077999999998E-2</v>
      </c>
      <c r="R58" s="6">
        <v>6.8045176999999998E-2</v>
      </c>
      <c r="S58" s="6">
        <v>6.8624876000000001E-2</v>
      </c>
      <c r="T58" s="6">
        <v>6.8935952999999994E-2</v>
      </c>
    </row>
    <row r="59" spans="1:20" x14ac:dyDescent="0.25">
      <c r="A59">
        <v>50</v>
      </c>
      <c r="B59" s="2">
        <f>20*LOG(((B48)*B$40)/(B37*(B$51)), 10)</f>
        <v>-3.7005448211527474</v>
      </c>
      <c r="C59" s="2">
        <f t="shared" ref="C59:I59" si="14">20*LOG(((C48)*C$40)/(C37*(C$51)), 10)</f>
        <v>-3.6920930992909944</v>
      </c>
      <c r="D59" s="2">
        <f t="shared" si="14"/>
        <v>-3.7104837387164387</v>
      </c>
      <c r="E59" s="2">
        <f t="shared" si="14"/>
        <v>-3.5679757449666964</v>
      </c>
      <c r="F59" s="2">
        <f t="shared" si="14"/>
        <v>-3.62349659330649</v>
      </c>
      <c r="G59" s="2">
        <f t="shared" si="14"/>
        <v>-3.5923250786733307</v>
      </c>
      <c r="H59" s="2">
        <f t="shared" si="14"/>
        <v>-3.4422063866578299</v>
      </c>
      <c r="I59" s="2">
        <f t="shared" si="14"/>
        <v>-3.5526743765751152</v>
      </c>
      <c r="M59" s="6">
        <v>7.3756583000000001E-2</v>
      </c>
      <c r="N59" s="6">
        <v>7.4141658999999999E-2</v>
      </c>
      <c r="O59" s="6">
        <v>7.3884620999999998E-2</v>
      </c>
      <c r="P59" s="6">
        <v>7.3916458000000004E-2</v>
      </c>
      <c r="Q59" s="6">
        <v>7.4262365999999996E-2</v>
      </c>
      <c r="R59" s="6">
        <v>7.3969073999999996E-2</v>
      </c>
      <c r="S59" s="6">
        <v>7.4572272999999994E-2</v>
      </c>
      <c r="T59" s="6">
        <v>7.4500366999999998E-2</v>
      </c>
    </row>
    <row r="60" spans="1:20" x14ac:dyDescent="0.25">
      <c r="A60">
        <v>60</v>
      </c>
      <c r="B60" s="2">
        <f t="shared" ref="B60:I60" si="15">20*LOG(((B49)*B$40)/(B38*(B$51)), 10)</f>
        <v>-0.79680148987785404</v>
      </c>
      <c r="C60" s="2">
        <f t="shared" si="15"/>
        <v>-0.73198890750372136</v>
      </c>
      <c r="D60" s="2">
        <f t="shared" si="15"/>
        <v>-0.75117644627815228</v>
      </c>
      <c r="E60" s="2">
        <f t="shared" si="15"/>
        <v>-0.72954288181619364</v>
      </c>
      <c r="F60" s="2">
        <f t="shared" si="15"/>
        <v>-0.73905709509047046</v>
      </c>
      <c r="G60" s="2">
        <f t="shared" si="15"/>
        <v>-0.75019775382123177</v>
      </c>
      <c r="H60" s="2">
        <f t="shared" si="15"/>
        <v>-0.63235608631497076</v>
      </c>
      <c r="I60" s="2">
        <f t="shared" si="15"/>
        <v>-0.61639960962273488</v>
      </c>
      <c r="M60" s="6">
        <v>7.4933722999999994E-2</v>
      </c>
      <c r="N60" s="6">
        <v>7.4760287999999994E-2</v>
      </c>
      <c r="O60" s="6">
        <v>7.4914842999999995E-2</v>
      </c>
      <c r="P60" s="6">
        <v>7.4823543000000006E-2</v>
      </c>
      <c r="Q60" s="6">
        <v>7.5091443999999993E-2</v>
      </c>
      <c r="R60" s="6">
        <v>7.5089357999999995E-2</v>
      </c>
      <c r="S60" s="6">
        <v>7.5052596999999999E-2</v>
      </c>
      <c r="T60" s="6">
        <v>7.5083219000000007E-2</v>
      </c>
    </row>
    <row r="61" spans="1:20" x14ac:dyDescent="0.25">
      <c r="A61">
        <v>70</v>
      </c>
      <c r="B61" s="2">
        <f t="shared" ref="B61:I61" si="16">20*LOG(((B50)*B$40)/(B39*(B$51)), 10)</f>
        <v>-0.11153909854250259</v>
      </c>
      <c r="C61" s="2">
        <f t="shared" si="16"/>
        <v>-2.6994836783478256E-2</v>
      </c>
      <c r="D61" s="2">
        <f t="shared" si="16"/>
        <v>-3.0917985408942601E-2</v>
      </c>
      <c r="E61" s="2">
        <f t="shared" si="16"/>
        <v>-5.7758381227361932E-2</v>
      </c>
      <c r="F61" s="2">
        <f t="shared" si="16"/>
        <v>-2.0795492361053419E-2</v>
      </c>
      <c r="G61" s="2">
        <f t="shared" si="16"/>
        <v>-4.6969218469719243E-2</v>
      </c>
      <c r="H61" s="2">
        <f t="shared" si="16"/>
        <v>4.4009966969627487E-2</v>
      </c>
      <c r="I61" s="2">
        <f t="shared" si="16"/>
        <v>2.0108634633674401E-2</v>
      </c>
      <c r="M61" s="6">
        <v>7.4095875000000005E-2</v>
      </c>
      <c r="N61" s="6">
        <v>7.3564782999999995E-2</v>
      </c>
      <c r="O61" s="6">
        <v>7.3698482999999995E-2</v>
      </c>
      <c r="P61" s="6">
        <v>7.3928780999999999E-2</v>
      </c>
      <c r="Q61" s="6">
        <v>7.3666491000000001E-2</v>
      </c>
      <c r="R61" s="6">
        <v>7.3648788000000007E-2</v>
      </c>
      <c r="S61" s="6">
        <v>7.3541693000000005E-2</v>
      </c>
      <c r="T61" s="6">
        <v>7.3505528000000001E-2</v>
      </c>
    </row>
    <row r="62" spans="1:20" x14ac:dyDescent="0.25">
      <c r="A62">
        <v>100</v>
      </c>
      <c r="B62" s="2">
        <f t="shared" ref="B62:I62" si="17">20*LOG(((B51)*B$40)/(B40*(B$51)), 10)</f>
        <v>0</v>
      </c>
      <c r="C62" s="2">
        <f t="shared" si="17"/>
        <v>0</v>
      </c>
      <c r="D62" s="2">
        <f t="shared" si="17"/>
        <v>0</v>
      </c>
      <c r="E62" s="2">
        <f t="shared" si="17"/>
        <v>0</v>
      </c>
      <c r="F62" s="2">
        <f t="shared" si="17"/>
        <v>0</v>
      </c>
      <c r="G62" s="2">
        <f t="shared" si="17"/>
        <v>0</v>
      </c>
      <c r="H62" s="2">
        <f t="shared" si="17"/>
        <v>0</v>
      </c>
      <c r="I62" s="2">
        <f t="shared" si="17"/>
        <v>0</v>
      </c>
      <c r="M62" s="6">
        <v>7.28544E-2</v>
      </c>
      <c r="N62" s="6">
        <v>7.2328455999999999E-2</v>
      </c>
      <c r="O62" s="6">
        <v>7.2314358999999995E-2</v>
      </c>
      <c r="P62" s="6">
        <v>7.2936237000000001E-2</v>
      </c>
      <c r="Q62" s="6">
        <v>7.2550267000000002E-2</v>
      </c>
      <c r="R62" s="6">
        <v>7.2134323E-2</v>
      </c>
      <c r="S62" s="6">
        <v>7.2288431E-2</v>
      </c>
      <c r="T62" s="6">
        <v>7.2013319000000006E-2</v>
      </c>
    </row>
    <row r="63" spans="1:20" x14ac:dyDescent="0.25">
      <c r="A63">
        <v>140</v>
      </c>
      <c r="B63" s="2">
        <f t="shared" ref="B63:I63" si="18">20*LOG(((B52)*B$40)/(B41*(B$51)), 10)</f>
        <v>-0.14432569325912564</v>
      </c>
      <c r="C63" s="2">
        <f t="shared" si="18"/>
        <v>-0.21517926705121004</v>
      </c>
      <c r="D63" s="2">
        <f t="shared" si="18"/>
        <v>-0.160574375187649</v>
      </c>
      <c r="E63" s="2">
        <f t="shared" si="18"/>
        <v>-0.10978617912150725</v>
      </c>
      <c r="F63" s="2">
        <f t="shared" si="18"/>
        <v>-0.16095871059721018</v>
      </c>
      <c r="G63" s="2">
        <f t="shared" si="18"/>
        <v>-0.15757388907898492</v>
      </c>
      <c r="H63" s="2">
        <f t="shared" si="18"/>
        <v>-0.18799381149944722</v>
      </c>
      <c r="I63" s="2">
        <f t="shared" si="18"/>
        <v>-0.21493015702852442</v>
      </c>
      <c r="M63" s="6">
        <v>6.9485723999999999E-2</v>
      </c>
      <c r="N63" s="6">
        <v>6.9172106999999997E-2</v>
      </c>
      <c r="O63" s="6">
        <v>6.9011352999999998E-2</v>
      </c>
      <c r="P63" s="6">
        <v>6.9958939999999997E-2</v>
      </c>
      <c r="Q63" s="6">
        <v>6.9192334999999994E-2</v>
      </c>
      <c r="R63" s="6">
        <v>6.8692558000000001E-2</v>
      </c>
      <c r="S63" s="6">
        <v>6.8997360999999993E-2</v>
      </c>
      <c r="T63" s="6">
        <v>6.8634182000000002E-2</v>
      </c>
    </row>
    <row r="64" spans="1:20" x14ac:dyDescent="0.25">
      <c r="A64">
        <v>180</v>
      </c>
      <c r="B64" s="2">
        <f t="shared" ref="B64:I64" si="19">20*LOG(((B53)*B$40)/(B42*(B$51)), 10)</f>
        <v>-0.26341173393944972</v>
      </c>
      <c r="C64" s="2">
        <f t="shared" si="19"/>
        <v>-0.34002066090271843</v>
      </c>
      <c r="D64" s="2">
        <f t="shared" si="19"/>
        <v>-0.33965011708180048</v>
      </c>
      <c r="E64" s="2">
        <f t="shared" si="19"/>
        <v>-0.20561211616645478</v>
      </c>
      <c r="F64" s="2">
        <f t="shared" si="19"/>
        <v>-0.31670952061954138</v>
      </c>
      <c r="G64" s="2">
        <f t="shared" si="19"/>
        <v>-0.31930463398704179</v>
      </c>
      <c r="H64" s="2">
        <f t="shared" si="19"/>
        <v>-0.35701980865628991</v>
      </c>
      <c r="I64" s="2">
        <f t="shared" si="19"/>
        <v>-0.39865866294939545</v>
      </c>
      <c r="M64" s="6">
        <v>5.6000154000000003E-2</v>
      </c>
      <c r="N64" s="6">
        <v>5.6415170000000001E-2</v>
      </c>
      <c r="O64" s="6">
        <v>5.5904038000000003E-2</v>
      </c>
      <c r="P64" s="6">
        <v>5.7364396999999998E-2</v>
      </c>
      <c r="Q64" s="6">
        <v>5.6276622999999998E-2</v>
      </c>
      <c r="R64" s="6">
        <v>5.5478609999999998E-2</v>
      </c>
      <c r="S64" s="6">
        <v>5.5995174000000002E-2</v>
      </c>
      <c r="T64" s="6">
        <v>5.5604409E-2</v>
      </c>
    </row>
    <row r="65" spans="1:9" x14ac:dyDescent="0.25">
      <c r="A65">
        <v>210</v>
      </c>
      <c r="B65" s="2">
        <f t="shared" ref="B65:I65" si="20">20*LOG(((B54)*B$40)/(B43*(B$51)), 10)</f>
        <v>-0.68587703706560654</v>
      </c>
      <c r="C65" s="2">
        <f t="shared" si="20"/>
        <v>-0.74711214499074363</v>
      </c>
      <c r="D65" s="2">
        <f t="shared" si="20"/>
        <v>-0.74878566758409815</v>
      </c>
      <c r="E65" s="2">
        <f t="shared" si="20"/>
        <v>-0.57641596203012779</v>
      </c>
      <c r="F65" s="2">
        <f t="shared" si="20"/>
        <v>-0.72602422607683914</v>
      </c>
      <c r="G65" s="2">
        <f t="shared" si="20"/>
        <v>-0.76033294391102912</v>
      </c>
      <c r="H65" s="2">
        <f t="shared" si="20"/>
        <v>-0.76644151513505665</v>
      </c>
      <c r="I65" s="2">
        <f t="shared" si="20"/>
        <v>-0.82023790498810423</v>
      </c>
    </row>
    <row r="66" spans="1:9" x14ac:dyDescent="0.25">
      <c r="A66">
        <v>250</v>
      </c>
      <c r="B66" s="2">
        <f t="shared" ref="B66:I66" si="21">20*LOG(((B55)*B$40)/(B44*(B$51)), 10)</f>
        <v>-2.5411109590487246</v>
      </c>
      <c r="C66" s="2">
        <f t="shared" si="21"/>
        <v>-2.5142866320198158</v>
      </c>
      <c r="D66" s="2">
        <f t="shared" si="21"/>
        <v>-2.5885534044412672</v>
      </c>
      <c r="E66" s="2">
        <f t="shared" si="21"/>
        <v>-2.326421457783975</v>
      </c>
      <c r="F66" s="2">
        <f t="shared" si="21"/>
        <v>-2.5113940868780409</v>
      </c>
      <c r="G66" s="2">
        <f t="shared" si="21"/>
        <v>-2.6205450343357919</v>
      </c>
      <c r="H66" s="2">
        <f t="shared" si="21"/>
        <v>-2.5819763127390285</v>
      </c>
      <c r="I66" s="2">
        <f t="shared" si="21"/>
        <v>-2.6494687914650346</v>
      </c>
    </row>
    <row r="68" spans="1:9" x14ac:dyDescent="0.25">
      <c r="A68" s="4" t="s">
        <v>8</v>
      </c>
      <c r="B68" s="4"/>
      <c r="C68" s="4"/>
      <c r="D68" s="4"/>
      <c r="E68" s="4"/>
      <c r="F68" s="4"/>
      <c r="G68" s="4"/>
      <c r="H68" s="4"/>
      <c r="I68" s="4"/>
    </row>
    <row r="69" spans="1:9" x14ac:dyDescent="0.25">
      <c r="A69" t="s">
        <v>1</v>
      </c>
      <c r="B69">
        <v>1</v>
      </c>
      <c r="C69">
        <v>2</v>
      </c>
      <c r="D69">
        <v>3</v>
      </c>
      <c r="E69">
        <v>4</v>
      </c>
      <c r="F69">
        <v>5</v>
      </c>
      <c r="G69">
        <v>6</v>
      </c>
      <c r="H69">
        <v>7</v>
      </c>
      <c r="I69">
        <v>8</v>
      </c>
    </row>
    <row r="70" spans="1:9" x14ac:dyDescent="0.25">
      <c r="A70">
        <v>50</v>
      </c>
      <c r="B70" s="1">
        <f>M33</f>
        <v>1.5364991E-2</v>
      </c>
      <c r="C70" s="1">
        <f t="shared" ref="C70:I70" si="22">N33</f>
        <v>1.5212253E-2</v>
      </c>
      <c r="D70" s="1">
        <f t="shared" si="22"/>
        <v>1.5245514999999999E-2</v>
      </c>
      <c r="E70" s="1">
        <f t="shared" si="22"/>
        <v>1.5310472E-2</v>
      </c>
      <c r="F70" s="1">
        <f t="shared" si="22"/>
        <v>1.5230541E-2</v>
      </c>
      <c r="G70" s="1">
        <f t="shared" si="22"/>
        <v>1.5342536E-2</v>
      </c>
      <c r="H70" s="1">
        <f t="shared" si="22"/>
        <v>1.5106544E-2</v>
      </c>
      <c r="I70" s="1">
        <f t="shared" si="22"/>
        <v>1.5176354E-2</v>
      </c>
    </row>
    <row r="71" spans="1:9" x14ac:dyDescent="0.25">
      <c r="A71">
        <v>60</v>
      </c>
      <c r="B71" s="1">
        <f t="shared" ref="B71:B77" si="23">M34</f>
        <v>1.5263607E-2</v>
      </c>
      <c r="C71" s="1">
        <f t="shared" ref="C71:C77" si="24">N34</f>
        <v>1.5078693000000001E-2</v>
      </c>
      <c r="D71" s="1">
        <f t="shared" ref="D71:D77" si="25">O34</f>
        <v>1.5123292999999999E-2</v>
      </c>
      <c r="E71" s="1">
        <f t="shared" ref="E71:E77" si="26">P34</f>
        <v>1.5232614E-2</v>
      </c>
      <c r="F71" s="1">
        <f t="shared" ref="F71:F77" si="27">Q34</f>
        <v>1.5132318000000001E-2</v>
      </c>
      <c r="G71" s="1">
        <f t="shared" ref="G71:G77" si="28">R34</f>
        <v>1.5243675999999999E-2</v>
      </c>
      <c r="H71" s="1">
        <f t="shared" ref="H71:H77" si="29">S34</f>
        <v>1.5021514999999999E-2</v>
      </c>
      <c r="I71" s="1">
        <f t="shared" ref="I71:I77" si="30">T34</f>
        <v>1.5077962E-2</v>
      </c>
    </row>
    <row r="72" spans="1:9" x14ac:dyDescent="0.25">
      <c r="A72">
        <v>70</v>
      </c>
      <c r="B72" s="1">
        <f t="shared" si="23"/>
        <v>1.5291971E-2</v>
      </c>
      <c r="C72" s="1">
        <f t="shared" si="24"/>
        <v>1.5118056E-2</v>
      </c>
      <c r="D72" s="1">
        <f t="shared" si="25"/>
        <v>1.5153069999999999E-2</v>
      </c>
      <c r="E72" s="1">
        <f t="shared" si="26"/>
        <v>1.5277394999999999E-2</v>
      </c>
      <c r="F72" s="1">
        <f t="shared" si="27"/>
        <v>1.5174701000000001E-2</v>
      </c>
      <c r="G72" s="1">
        <f t="shared" si="28"/>
        <v>1.5266620999999999E-2</v>
      </c>
      <c r="H72" s="1">
        <f t="shared" si="29"/>
        <v>1.5092365999999999E-2</v>
      </c>
      <c r="I72" s="1">
        <f t="shared" si="30"/>
        <v>1.5140532999999999E-2</v>
      </c>
    </row>
    <row r="73" spans="1:9" x14ac:dyDescent="0.25">
      <c r="A73">
        <v>100</v>
      </c>
      <c r="B73" s="1">
        <f t="shared" si="23"/>
        <v>1.5386696E-2</v>
      </c>
      <c r="C73" s="1">
        <f t="shared" si="24"/>
        <v>1.528419E-2</v>
      </c>
      <c r="D73" s="1">
        <f t="shared" si="25"/>
        <v>1.5296255999999999E-2</v>
      </c>
      <c r="E73" s="1">
        <f t="shared" si="26"/>
        <v>1.5384824E-2</v>
      </c>
      <c r="F73" s="1">
        <f t="shared" si="27"/>
        <v>1.531239E-2</v>
      </c>
      <c r="G73" s="1">
        <f t="shared" si="28"/>
        <v>1.5371806E-2</v>
      </c>
      <c r="H73" s="1">
        <f t="shared" si="29"/>
        <v>1.5277892E-2</v>
      </c>
      <c r="I73" s="1">
        <f t="shared" si="30"/>
        <v>1.5328534E-2</v>
      </c>
    </row>
    <row r="74" spans="1:9" x14ac:dyDescent="0.25">
      <c r="A74">
        <v>140</v>
      </c>
      <c r="B74" s="1">
        <f t="shared" si="23"/>
        <v>1.5416226999999999E-2</v>
      </c>
      <c r="C74" s="1">
        <f t="shared" si="24"/>
        <v>1.5356242000000001E-2</v>
      </c>
      <c r="D74" s="1">
        <f t="shared" si="25"/>
        <v>1.5365182E-2</v>
      </c>
      <c r="E74" s="1">
        <f t="shared" si="26"/>
        <v>1.5418064E-2</v>
      </c>
      <c r="F74" s="1">
        <f t="shared" si="27"/>
        <v>1.5372701000000001E-2</v>
      </c>
      <c r="G74" s="1">
        <f t="shared" si="28"/>
        <v>1.5414761000000001E-2</v>
      </c>
      <c r="H74" s="1">
        <f t="shared" si="29"/>
        <v>1.5351508999999999E-2</v>
      </c>
      <c r="I74" s="1">
        <f t="shared" si="30"/>
        <v>1.5399862E-2</v>
      </c>
    </row>
    <row r="75" spans="1:9" x14ac:dyDescent="0.25">
      <c r="A75">
        <v>180</v>
      </c>
      <c r="B75" s="1">
        <f t="shared" si="23"/>
        <v>1.5432939E-2</v>
      </c>
      <c r="C75" s="1">
        <f t="shared" si="24"/>
        <v>1.5383913000000001E-2</v>
      </c>
      <c r="D75" s="1">
        <f t="shared" si="25"/>
        <v>1.5398755E-2</v>
      </c>
      <c r="E75" s="1">
        <f t="shared" si="26"/>
        <v>1.5435116E-2</v>
      </c>
      <c r="F75" s="1">
        <f t="shared" si="27"/>
        <v>1.5395997E-2</v>
      </c>
      <c r="G75" s="1">
        <f t="shared" si="28"/>
        <v>1.5437895E-2</v>
      </c>
      <c r="H75" s="1">
        <f t="shared" si="29"/>
        <v>1.5379514E-2</v>
      </c>
      <c r="I75" s="1">
        <f t="shared" si="30"/>
        <v>1.5430251000000001E-2</v>
      </c>
    </row>
    <row r="76" spans="1:9" x14ac:dyDescent="0.25">
      <c r="A76">
        <v>210</v>
      </c>
      <c r="B76" s="1">
        <f t="shared" si="23"/>
        <v>1.5458361E-2</v>
      </c>
      <c r="C76" s="1">
        <f t="shared" si="24"/>
        <v>1.5422467E-2</v>
      </c>
      <c r="D76" s="1">
        <f t="shared" si="25"/>
        <v>1.5435766E-2</v>
      </c>
      <c r="E76" s="1">
        <f t="shared" si="26"/>
        <v>1.5464623E-2</v>
      </c>
      <c r="F76" s="1">
        <f t="shared" si="27"/>
        <v>1.5431321E-2</v>
      </c>
      <c r="G76" s="1">
        <f t="shared" si="28"/>
        <v>1.5465848000000001E-2</v>
      </c>
      <c r="H76" s="1">
        <f t="shared" si="29"/>
        <v>1.5410093E-2</v>
      </c>
      <c r="I76" s="1">
        <f t="shared" si="30"/>
        <v>1.5461403E-2</v>
      </c>
    </row>
    <row r="77" spans="1:9" x14ac:dyDescent="0.25">
      <c r="A77">
        <v>250</v>
      </c>
      <c r="B77" s="1">
        <f t="shared" si="23"/>
        <v>1.5474115E-2</v>
      </c>
      <c r="C77" s="1">
        <f t="shared" si="24"/>
        <v>1.5436159E-2</v>
      </c>
      <c r="D77" s="1">
        <f t="shared" si="25"/>
        <v>1.5453435E-2</v>
      </c>
      <c r="E77" s="1">
        <f t="shared" si="26"/>
        <v>1.5475342E-2</v>
      </c>
      <c r="F77" s="1">
        <f t="shared" si="27"/>
        <v>1.5446117000000001E-2</v>
      </c>
      <c r="G77" s="1">
        <f t="shared" si="28"/>
        <v>1.5482644E-2</v>
      </c>
      <c r="H77" s="1">
        <f t="shared" si="29"/>
        <v>1.543079E-2</v>
      </c>
      <c r="I77" s="1">
        <f t="shared" si="30"/>
        <v>1.5478779999999999E-2</v>
      </c>
    </row>
    <row r="79" spans="1:9" x14ac:dyDescent="0.25">
      <c r="A79" s="4" t="s">
        <v>9</v>
      </c>
      <c r="B79" s="4"/>
      <c r="C79" s="4"/>
      <c r="D79" s="4"/>
      <c r="E79" s="4"/>
      <c r="F79" s="4"/>
      <c r="G79" s="4"/>
      <c r="H79" s="4"/>
      <c r="I79" s="4"/>
    </row>
    <row r="80" spans="1:9" x14ac:dyDescent="0.25">
      <c r="A80" t="s">
        <v>1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</row>
    <row r="81" spans="1:9" x14ac:dyDescent="0.25">
      <c r="A81">
        <v>50</v>
      </c>
      <c r="B81" s="1">
        <f>M41</f>
        <v>4.8829499999999998E-2</v>
      </c>
      <c r="C81" s="1">
        <f t="shared" ref="C81:I81" si="31">N41</f>
        <v>4.8345774000000001E-2</v>
      </c>
      <c r="D81" s="1">
        <f t="shared" si="31"/>
        <v>4.8113695999999997E-2</v>
      </c>
      <c r="E81" s="1">
        <f t="shared" si="31"/>
        <v>4.8806503000000001E-2</v>
      </c>
      <c r="F81" s="1">
        <f t="shared" si="31"/>
        <v>4.8506524000000002E-2</v>
      </c>
      <c r="G81" s="1">
        <f t="shared" si="31"/>
        <v>4.8574570999999997E-2</v>
      </c>
      <c r="H81" s="1">
        <f t="shared" si="31"/>
        <v>4.8942260000000001E-2</v>
      </c>
      <c r="I81" s="1">
        <f t="shared" si="31"/>
        <v>4.9176365E-2</v>
      </c>
    </row>
    <row r="82" spans="1:9" x14ac:dyDescent="0.25">
      <c r="A82">
        <v>60</v>
      </c>
      <c r="B82" s="1">
        <f t="shared" ref="B82:B88" si="32">M42</f>
        <v>6.7165694999999997E-2</v>
      </c>
      <c r="C82" s="1">
        <f t="shared" ref="C82:C88" si="33">N42</f>
        <v>6.7156515999999999E-2</v>
      </c>
      <c r="D82" s="1">
        <f t="shared" ref="D82:D88" si="34">O42</f>
        <v>6.6872925E-2</v>
      </c>
      <c r="E82" s="1">
        <f t="shared" ref="E82:E88" si="35">P42</f>
        <v>6.7651956999999999E-2</v>
      </c>
      <c r="F82" s="1">
        <f t="shared" ref="F82:F88" si="36">Q42</f>
        <v>6.7152492999999994E-2</v>
      </c>
      <c r="G82" s="1">
        <f t="shared" ref="G82:G88" si="37">R42</f>
        <v>6.7042432999999998E-2</v>
      </c>
      <c r="H82" s="1">
        <f t="shared" ref="H82:H88" si="38">S42</f>
        <v>6.7812501999999997E-2</v>
      </c>
      <c r="I82" s="1">
        <f t="shared" ref="I82:I88" si="39">T42</f>
        <v>6.8044059000000004E-2</v>
      </c>
    </row>
    <row r="83" spans="1:9" x14ac:dyDescent="0.25">
      <c r="A83">
        <v>70</v>
      </c>
      <c r="B83" s="1">
        <f t="shared" si="32"/>
        <v>7.3087201000000004E-2</v>
      </c>
      <c r="C83" s="1">
        <f t="shared" si="33"/>
        <v>7.3272184000000004E-2</v>
      </c>
      <c r="D83" s="1">
        <f t="shared" si="34"/>
        <v>7.2809674000000005E-2</v>
      </c>
      <c r="E83" s="1">
        <f t="shared" si="35"/>
        <v>7.3401794000000006E-2</v>
      </c>
      <c r="F83" s="1">
        <f t="shared" si="36"/>
        <v>7.3207773000000004E-2</v>
      </c>
      <c r="G83" s="1">
        <f t="shared" si="37"/>
        <v>7.2836310000000001E-2</v>
      </c>
      <c r="H83" s="1">
        <f t="shared" si="38"/>
        <v>7.3530159999999997E-2</v>
      </c>
      <c r="I83" s="1">
        <f t="shared" si="39"/>
        <v>7.3546349999999996E-2</v>
      </c>
    </row>
    <row r="84" spans="1:9" x14ac:dyDescent="0.25">
      <c r="A84">
        <v>100</v>
      </c>
      <c r="B84" s="1">
        <f t="shared" si="32"/>
        <v>7.4561163999999999E-2</v>
      </c>
      <c r="C84" s="1">
        <f t="shared" si="33"/>
        <v>7.4071004999999995E-2</v>
      </c>
      <c r="D84" s="1">
        <f t="shared" si="34"/>
        <v>7.4062839000000005E-2</v>
      </c>
      <c r="E84" s="1">
        <f t="shared" si="35"/>
        <v>7.4305385000000002E-2</v>
      </c>
      <c r="F84" s="1">
        <f t="shared" si="36"/>
        <v>7.4136964999999999E-2</v>
      </c>
      <c r="G84" s="1">
        <f t="shared" si="37"/>
        <v>7.3857188000000004E-2</v>
      </c>
      <c r="H84" s="1">
        <f t="shared" si="38"/>
        <v>7.4293256000000002E-2</v>
      </c>
      <c r="I84" s="1">
        <f t="shared" si="39"/>
        <v>7.4216239000000003E-2</v>
      </c>
    </row>
    <row r="85" spans="1:9" x14ac:dyDescent="0.25">
      <c r="A85">
        <v>140</v>
      </c>
      <c r="B85" s="1">
        <f t="shared" si="32"/>
        <v>7.3737345999999995E-2</v>
      </c>
      <c r="C85" s="1">
        <f t="shared" si="33"/>
        <v>7.3081136000000005E-2</v>
      </c>
      <c r="D85" s="1">
        <f t="shared" si="34"/>
        <v>7.3108121999999998E-2</v>
      </c>
      <c r="E85" s="1">
        <f t="shared" si="35"/>
        <v>7.3708676000000001E-2</v>
      </c>
      <c r="F85" s="1">
        <f t="shared" si="36"/>
        <v>7.3098927999999994E-2</v>
      </c>
      <c r="G85" s="1">
        <f t="shared" si="37"/>
        <v>7.3057324000000007E-2</v>
      </c>
      <c r="H85" s="1">
        <f t="shared" si="38"/>
        <v>7.3199920000000002E-2</v>
      </c>
      <c r="I85" s="1">
        <f t="shared" si="39"/>
        <v>7.2974025999999997E-2</v>
      </c>
    </row>
    <row r="86" spans="1:9" x14ac:dyDescent="0.25">
      <c r="A86">
        <v>180</v>
      </c>
      <c r="B86" s="1">
        <f t="shared" si="32"/>
        <v>7.3021113999999998E-2</v>
      </c>
      <c r="C86" s="1">
        <f t="shared" si="33"/>
        <v>7.2269976E-2</v>
      </c>
      <c r="D86" s="1">
        <f t="shared" si="34"/>
        <v>7.2029917999999998E-2</v>
      </c>
      <c r="E86" s="1">
        <f t="shared" si="35"/>
        <v>7.3393299999999995E-2</v>
      </c>
      <c r="F86" s="1">
        <f t="shared" si="36"/>
        <v>7.2220184000000007E-2</v>
      </c>
      <c r="G86" s="1">
        <f t="shared" si="37"/>
        <v>7.1956596999999997E-2</v>
      </c>
      <c r="H86" s="1">
        <f t="shared" si="38"/>
        <v>7.2313681000000005E-2</v>
      </c>
      <c r="I86" s="1">
        <f t="shared" si="39"/>
        <v>7.1914381999999999E-2</v>
      </c>
    </row>
    <row r="87" spans="1:9" x14ac:dyDescent="0.25">
      <c r="A87">
        <v>210</v>
      </c>
      <c r="B87" s="1">
        <f t="shared" si="32"/>
        <v>7.0084258999999996E-2</v>
      </c>
      <c r="C87" s="1">
        <f t="shared" si="33"/>
        <v>6.9415346000000003E-2</v>
      </c>
      <c r="D87" s="1">
        <f t="shared" si="34"/>
        <v>6.9206662000000002E-2</v>
      </c>
      <c r="E87" s="1">
        <f t="shared" si="35"/>
        <v>7.0685713999999997E-2</v>
      </c>
      <c r="F87" s="1">
        <f t="shared" si="36"/>
        <v>6.9369897E-2</v>
      </c>
      <c r="G87" s="1">
        <f t="shared" si="37"/>
        <v>6.8763234000000006E-2</v>
      </c>
      <c r="H87" s="1">
        <f t="shared" si="38"/>
        <v>6.9219053000000003E-2</v>
      </c>
      <c r="I87" s="1">
        <f t="shared" si="39"/>
        <v>6.8996452E-2</v>
      </c>
    </row>
    <row r="88" spans="1:9" x14ac:dyDescent="0.25">
      <c r="A88">
        <v>250</v>
      </c>
      <c r="B88" s="1">
        <f t="shared" si="32"/>
        <v>5.6911695999999998E-2</v>
      </c>
      <c r="C88" s="1">
        <f t="shared" si="33"/>
        <v>5.7009707999999999E-2</v>
      </c>
      <c r="D88" s="1">
        <f t="shared" si="34"/>
        <v>5.6477338000000002E-2</v>
      </c>
      <c r="E88" s="1">
        <f t="shared" si="35"/>
        <v>5.8397401000000002E-2</v>
      </c>
      <c r="F88" s="1">
        <f t="shared" si="36"/>
        <v>5.6859634999999999E-2</v>
      </c>
      <c r="G88" s="1">
        <f t="shared" si="37"/>
        <v>5.5951099999999997E-2</v>
      </c>
      <c r="H88" s="1">
        <f t="shared" si="38"/>
        <v>5.6663367999999999E-2</v>
      </c>
      <c r="I88" s="1">
        <f t="shared" si="39"/>
        <v>5.6356705999999999E-2</v>
      </c>
    </row>
    <row r="90" spans="1:9" x14ac:dyDescent="0.25">
      <c r="A90" s="5" t="s">
        <v>10</v>
      </c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t="s">
        <v>0</v>
      </c>
      <c r="B91">
        <v>1</v>
      </c>
      <c r="C91">
        <v>2</v>
      </c>
      <c r="D91">
        <v>3</v>
      </c>
      <c r="E91">
        <v>4</v>
      </c>
      <c r="F91">
        <v>5</v>
      </c>
      <c r="G91">
        <v>6</v>
      </c>
      <c r="H91">
        <v>7</v>
      </c>
      <c r="I91">
        <v>8</v>
      </c>
    </row>
    <row r="92" spans="1:9" x14ac:dyDescent="0.25">
      <c r="A92">
        <v>50</v>
      </c>
      <c r="B92" s="2">
        <f>20*LOG(((B81/5)*B$73)/(B70*(B$84/5)), 10)</f>
        <v>-3.664346777939111</v>
      </c>
      <c r="C92" s="2">
        <f t="shared" ref="C92:I92" si="40">20*LOG(((C81/5)*C$73)/(C70*(C$84/5)), 10)</f>
        <v>-3.6648166311284895</v>
      </c>
      <c r="D92" s="2">
        <f t="shared" si="40"/>
        <v>-3.7177718382482867</v>
      </c>
      <c r="E92" s="2">
        <f t="shared" si="40"/>
        <v>-3.6087728905538619</v>
      </c>
      <c r="F92" s="2">
        <f t="shared" si="40"/>
        <v>-3.6381399445155695</v>
      </c>
      <c r="G92" s="2">
        <f t="shared" si="40"/>
        <v>-3.6231210203448097</v>
      </c>
      <c r="H92" s="2">
        <f t="shared" si="40"/>
        <v>-3.5273411354387409</v>
      </c>
      <c r="I92" s="2">
        <f t="shared" si="40"/>
        <v>-3.488186906443826</v>
      </c>
    </row>
    <row r="93" spans="1:9" x14ac:dyDescent="0.25">
      <c r="A93">
        <v>60</v>
      </c>
      <c r="B93" s="2">
        <f t="shared" ref="B93:I93" si="41">20*LOG(((B82/5)*B$73)/(B71*(B$84/5)), 10)</f>
        <v>-0.83753936912762783</v>
      </c>
      <c r="C93" s="2">
        <f t="shared" si="41"/>
        <v>-0.73362702310050387</v>
      </c>
      <c r="D93" s="2">
        <f t="shared" si="41"/>
        <v>-0.78822517861218799</v>
      </c>
      <c r="E93" s="2">
        <f t="shared" si="41"/>
        <v>-0.72843658555383706</v>
      </c>
      <c r="F93" s="2">
        <f t="shared" si="41"/>
        <v>-0.75670280309535132</v>
      </c>
      <c r="G93" s="2">
        <f t="shared" si="41"/>
        <v>-0.76815632922028043</v>
      </c>
      <c r="H93" s="2">
        <f t="shared" si="41"/>
        <v>-0.64579848187395528</v>
      </c>
      <c r="I93" s="2">
        <f t="shared" si="41"/>
        <v>-0.61101505250453259</v>
      </c>
    </row>
    <row r="94" spans="1:9" x14ac:dyDescent="0.25">
      <c r="A94">
        <v>70</v>
      </c>
      <c r="B94" s="2">
        <f t="shared" ref="B94:I94" si="42">20*LOG(((B83/5)*B$73)/(B72*(B$84/5)), 10)</f>
        <v>-0.11978883084387541</v>
      </c>
      <c r="C94" s="2">
        <f t="shared" si="42"/>
        <v>7.4754988088050517E-4</v>
      </c>
      <c r="D94" s="2">
        <f t="shared" si="42"/>
        <v>-6.6535101680261319E-2</v>
      </c>
      <c r="E94" s="2">
        <f t="shared" si="42"/>
        <v>-4.540778742993444E-2</v>
      </c>
      <c r="F94" s="2">
        <f t="shared" si="42"/>
        <v>-3.1095360258832166E-2</v>
      </c>
      <c r="G94" s="2">
        <f t="shared" si="42"/>
        <v>-6.1257245191478113E-2</v>
      </c>
      <c r="H94" s="2">
        <f t="shared" si="42"/>
        <v>1.6444515247621572E-2</v>
      </c>
      <c r="I94" s="2">
        <f t="shared" si="42"/>
        <v>2.8432788231662221E-2</v>
      </c>
    </row>
    <row r="95" spans="1:9" x14ac:dyDescent="0.25">
      <c r="A95">
        <v>100</v>
      </c>
      <c r="B95" s="2">
        <f t="shared" ref="B95:I95" si="43">20*LOG(((B84/5)*B$73)/(B73*(B$84/5)), 10)</f>
        <v>0</v>
      </c>
      <c r="C95" s="2">
        <f t="shared" si="43"/>
        <v>0</v>
      </c>
      <c r="D95" s="2">
        <f t="shared" si="43"/>
        <v>0</v>
      </c>
      <c r="E95" s="2">
        <f t="shared" si="43"/>
        <v>0</v>
      </c>
      <c r="F95" s="2">
        <f t="shared" si="43"/>
        <v>0</v>
      </c>
      <c r="G95" s="2">
        <f t="shared" si="43"/>
        <v>0</v>
      </c>
      <c r="H95" s="2">
        <f t="shared" si="43"/>
        <v>0</v>
      </c>
      <c r="I95" s="2">
        <f t="shared" si="43"/>
        <v>0</v>
      </c>
    </row>
    <row r="96" spans="1:9" x14ac:dyDescent="0.25">
      <c r="A96">
        <v>140</v>
      </c>
      <c r="B96" s="2">
        <f t="shared" ref="B96:I96" si="44">20*LOG(((B85/5)*B$73)/(B74*(B$84/5)), 10)</f>
        <v>-0.11315800721543473</v>
      </c>
      <c r="C96" s="2">
        <f t="shared" si="44"/>
        <v>-0.15770934812019854</v>
      </c>
      <c r="D96" s="2">
        <f t="shared" si="44"/>
        <v>-0.15174586143748825</v>
      </c>
      <c r="E96" s="2">
        <f t="shared" si="44"/>
        <v>-8.8779805327084932E-2</v>
      </c>
      <c r="F96" s="2">
        <f t="shared" si="44"/>
        <v>-0.15661986623863233</v>
      </c>
      <c r="G96" s="2">
        <f t="shared" si="44"/>
        <v>-0.11881817537242913</v>
      </c>
      <c r="H96" s="2">
        <f t="shared" si="44"/>
        <v>-0.17052843534430345</v>
      </c>
      <c r="I96" s="2">
        <f t="shared" si="44"/>
        <v>-0.18693685319928352</v>
      </c>
    </row>
    <row r="97" spans="1:9" x14ac:dyDescent="0.25">
      <c r="A97">
        <v>180</v>
      </c>
      <c r="B97" s="2">
        <f t="shared" ref="B97:I97" si="45">20*LOG(((B86/5)*B$73)/(B75*(B$84/5)), 10)</f>
        <v>-0.20734982702764798</v>
      </c>
      <c r="C97" s="2">
        <f t="shared" si="45"/>
        <v>-0.2702942818785925</v>
      </c>
      <c r="D97" s="2">
        <f t="shared" si="45"/>
        <v>-0.29975802047970129</v>
      </c>
      <c r="E97" s="2">
        <f t="shared" si="45"/>
        <v>-0.13562477330377914</v>
      </c>
      <c r="F97" s="2">
        <f t="shared" si="45"/>
        <v>-0.27482096759233449</v>
      </c>
      <c r="G97" s="2">
        <f t="shared" si="45"/>
        <v>-0.2637068032106179</v>
      </c>
      <c r="H97" s="2">
        <f t="shared" si="45"/>
        <v>-0.29216198632775658</v>
      </c>
      <c r="I97" s="2">
        <f t="shared" si="45"/>
        <v>-0.33111117308906118</v>
      </c>
    </row>
    <row r="98" spans="1:9" x14ac:dyDescent="0.25">
      <c r="A98">
        <v>210</v>
      </c>
      <c r="B98" s="2">
        <f t="shared" ref="B98:I98" si="46">20*LOG(((B87/5)*B$73)/(B76*(B$84/5)), 10)</f>
        <v>-0.57820530442565421</v>
      </c>
      <c r="C98" s="2">
        <f t="shared" si="46"/>
        <v>-0.64208332605739282</v>
      </c>
      <c r="D98" s="2">
        <f t="shared" si="46"/>
        <v>-0.6679099132893469</v>
      </c>
      <c r="E98" s="2">
        <f t="shared" si="46"/>
        <v>-0.47870888688890273</v>
      </c>
      <c r="F98" s="2">
        <f t="shared" si="46"/>
        <v>-0.64447753950359599</v>
      </c>
      <c r="G98" s="2">
        <f t="shared" si="46"/>
        <v>-0.67370635026261894</v>
      </c>
      <c r="H98" s="2">
        <f t="shared" si="46"/>
        <v>-0.68931126010293264</v>
      </c>
      <c r="I98" s="2">
        <f t="shared" si="46"/>
        <v>-0.70840924383050718</v>
      </c>
    </row>
    <row r="99" spans="1:9" x14ac:dyDescent="0.25">
      <c r="A99">
        <v>250</v>
      </c>
      <c r="B99" s="2">
        <f t="shared" ref="B99:I99" si="47">20*LOG(((B88/5)*B$73)/(B77*(B$84/5)), 10)</f>
        <v>-2.395431960791321</v>
      </c>
      <c r="C99" s="2">
        <f t="shared" si="47"/>
        <v>-2.3599247236888847</v>
      </c>
      <c r="D99" s="2">
        <f t="shared" si="47"/>
        <v>-2.4433204679588112</v>
      </c>
      <c r="E99" s="2">
        <f t="shared" si="47"/>
        <v>-2.1434898572855707</v>
      </c>
      <c r="F99" s="2">
        <f t="shared" si="47"/>
        <v>-2.3801414767606599</v>
      </c>
      <c r="G99" s="2">
        <f t="shared" si="47"/>
        <v>-2.4740874497839456</v>
      </c>
      <c r="H99" s="2">
        <f t="shared" si="47"/>
        <v>-2.4394346536579952</v>
      </c>
      <c r="I99" s="2">
        <f t="shared" si="47"/>
        <v>-2.4757889451003545</v>
      </c>
    </row>
  </sheetData>
  <mergeCells count="9">
    <mergeCell ref="A68:I68"/>
    <mergeCell ref="A79:I79"/>
    <mergeCell ref="A90:I90"/>
    <mergeCell ref="A57:I57"/>
    <mergeCell ref="A1:I1"/>
    <mergeCell ref="A12:I12"/>
    <mergeCell ref="A23:I23"/>
    <mergeCell ref="A35:I35"/>
    <mergeCell ref="A46:I46"/>
  </mergeCells>
  <conditionalFormatting sqref="B25:I32">
    <cfRule type="cellIs" dxfId="11" priority="7" operator="lessThan">
      <formula>-5.5</formula>
    </cfRule>
    <cfRule type="cellIs" dxfId="10" priority="8" operator="greaterThan">
      <formula>0.5</formula>
    </cfRule>
  </conditionalFormatting>
  <conditionalFormatting sqref="B26:I26 B31:I31">
    <cfRule type="cellIs" dxfId="9" priority="6" operator="lessThan">
      <formula>-2</formula>
    </cfRule>
  </conditionalFormatting>
  <conditionalFormatting sqref="B27:I30">
    <cfRule type="cellIs" dxfId="8" priority="5" operator="lessThan">
      <formula>-0.5</formula>
    </cfRule>
  </conditionalFormatting>
  <conditionalFormatting sqref="B59:I66">
    <cfRule type="cellIs" dxfId="7" priority="11" operator="lessThan">
      <formula>-5.5</formula>
    </cfRule>
    <cfRule type="cellIs" dxfId="6" priority="12" operator="greaterThan">
      <formula>0.5</formula>
    </cfRule>
  </conditionalFormatting>
  <conditionalFormatting sqref="B60:I60 B65:I65">
    <cfRule type="cellIs" dxfId="5" priority="10" operator="lessThan">
      <formula>-2</formula>
    </cfRule>
  </conditionalFormatting>
  <conditionalFormatting sqref="B61:I64">
    <cfRule type="cellIs" dxfId="4" priority="9" operator="lessThan">
      <formula>-0.5</formula>
    </cfRule>
  </conditionalFormatting>
  <conditionalFormatting sqref="B92:I99">
    <cfRule type="cellIs" dxfId="3" priority="3" operator="lessThan">
      <formula>-5.5</formula>
    </cfRule>
    <cfRule type="cellIs" dxfId="2" priority="4" operator="greaterThan">
      <formula>0.5</formula>
    </cfRule>
  </conditionalFormatting>
  <conditionalFormatting sqref="B93:I93 B98:I98">
    <cfRule type="cellIs" dxfId="1" priority="2" operator="lessThan">
      <formula>-2</formula>
    </cfRule>
  </conditionalFormatting>
  <conditionalFormatting sqref="B94:I97">
    <cfRule type="cellIs" dxfId="0" priority="1" operator="lessThan">
      <formula>-0.5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2026-05-26T13:25:35Z</dcterms:modified>
</cp:coreProperties>
</file>
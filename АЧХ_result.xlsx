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drew\Desktop\боц8\"/>
    </mc:Choice>
  </mc:AlternateContent>
  <xr:revisionPtr revIDLastSave="0" documentId="8_{2A84B767-40C5-4C51-BA3A-94F82940D0B7}" xr6:coauthVersionLast="47" xr6:coauthVersionMax="47" xr10:uidLastSave="{00000000-0000-0000-0000-000000000000}"/>
  <bookViews>
    <workbookView xWindow="720" yWindow="2010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3" i="1" l="1"/>
  <c r="I26" i="1"/>
  <c r="I30" i="1"/>
  <c r="B82" i="1"/>
  <c r="C82" i="1"/>
  <c r="D82" i="1"/>
  <c r="E82" i="1"/>
  <c r="F82" i="1"/>
  <c r="G82" i="1"/>
  <c r="H82" i="1"/>
  <c r="I82" i="1"/>
  <c r="B83" i="1"/>
  <c r="C83" i="1"/>
  <c r="D83" i="1"/>
  <c r="E83" i="1"/>
  <c r="F83" i="1"/>
  <c r="G83" i="1"/>
  <c r="H83" i="1"/>
  <c r="I83" i="1"/>
  <c r="B84" i="1"/>
  <c r="C84" i="1"/>
  <c r="D84" i="1"/>
  <c r="E84" i="1"/>
  <c r="F84" i="1"/>
  <c r="G84" i="1"/>
  <c r="H84" i="1"/>
  <c r="I84" i="1"/>
  <c r="B85" i="1"/>
  <c r="C85" i="1"/>
  <c r="D85" i="1"/>
  <c r="E85" i="1"/>
  <c r="F85" i="1"/>
  <c r="G85" i="1"/>
  <c r="H85" i="1"/>
  <c r="I85" i="1"/>
  <c r="B86" i="1"/>
  <c r="C86" i="1"/>
  <c r="D86" i="1"/>
  <c r="E86" i="1"/>
  <c r="F86" i="1"/>
  <c r="G86" i="1"/>
  <c r="H86" i="1"/>
  <c r="I86" i="1"/>
  <c r="B87" i="1"/>
  <c r="C87" i="1"/>
  <c r="D87" i="1"/>
  <c r="E87" i="1"/>
  <c r="F87" i="1"/>
  <c r="G87" i="1"/>
  <c r="H87" i="1"/>
  <c r="I87" i="1"/>
  <c r="B88" i="1"/>
  <c r="C88" i="1"/>
  <c r="D88" i="1"/>
  <c r="E88" i="1"/>
  <c r="F88" i="1"/>
  <c r="G88" i="1"/>
  <c r="H88" i="1"/>
  <c r="I88" i="1"/>
  <c r="C81" i="1"/>
  <c r="D81" i="1"/>
  <c r="E81" i="1"/>
  <c r="F81" i="1"/>
  <c r="G81" i="1"/>
  <c r="H81" i="1"/>
  <c r="I81" i="1"/>
  <c r="B81" i="1"/>
  <c r="B71" i="1"/>
  <c r="C71" i="1"/>
  <c r="D71" i="1"/>
  <c r="E71" i="1"/>
  <c r="F71" i="1"/>
  <c r="G71" i="1"/>
  <c r="H71" i="1"/>
  <c r="I71" i="1"/>
  <c r="B72" i="1"/>
  <c r="C72" i="1"/>
  <c r="D72" i="1"/>
  <c r="E72" i="1"/>
  <c r="F72" i="1"/>
  <c r="G72" i="1"/>
  <c r="H72" i="1"/>
  <c r="I72" i="1"/>
  <c r="B73" i="1"/>
  <c r="C73" i="1"/>
  <c r="D73" i="1"/>
  <c r="E73" i="1"/>
  <c r="F73" i="1"/>
  <c r="G73" i="1"/>
  <c r="H73" i="1"/>
  <c r="I73" i="1"/>
  <c r="B74" i="1"/>
  <c r="C74" i="1"/>
  <c r="D74" i="1"/>
  <c r="E74" i="1"/>
  <c r="F74" i="1"/>
  <c r="G74" i="1"/>
  <c r="H74" i="1"/>
  <c r="I74" i="1"/>
  <c r="B75" i="1"/>
  <c r="C75" i="1"/>
  <c r="D75" i="1"/>
  <c r="E75" i="1"/>
  <c r="F75" i="1"/>
  <c r="G75" i="1"/>
  <c r="H75" i="1"/>
  <c r="I75" i="1"/>
  <c r="B76" i="1"/>
  <c r="C76" i="1"/>
  <c r="D76" i="1"/>
  <c r="E76" i="1"/>
  <c r="F76" i="1"/>
  <c r="G76" i="1"/>
  <c r="H76" i="1"/>
  <c r="I76" i="1"/>
  <c r="B77" i="1"/>
  <c r="C77" i="1"/>
  <c r="D77" i="1"/>
  <c r="E77" i="1"/>
  <c r="F77" i="1"/>
  <c r="G77" i="1"/>
  <c r="H77" i="1"/>
  <c r="I77" i="1"/>
  <c r="C70" i="1"/>
  <c r="D70" i="1"/>
  <c r="E70" i="1"/>
  <c r="F70" i="1"/>
  <c r="G70" i="1"/>
  <c r="H70" i="1"/>
  <c r="I70" i="1"/>
  <c r="B70" i="1"/>
  <c r="I55" i="1"/>
  <c r="I66" i="1" s="1"/>
  <c r="H55" i="1"/>
  <c r="G55" i="1"/>
  <c r="F55" i="1"/>
  <c r="E55" i="1"/>
  <c r="D55" i="1"/>
  <c r="C55" i="1"/>
  <c r="B55" i="1"/>
  <c r="I54" i="1"/>
  <c r="I65" i="1" s="1"/>
  <c r="H54" i="1"/>
  <c r="G54" i="1"/>
  <c r="F54" i="1"/>
  <c r="E54" i="1"/>
  <c r="D54" i="1"/>
  <c r="C54" i="1"/>
  <c r="B54" i="1"/>
  <c r="I53" i="1"/>
  <c r="I64" i="1" s="1"/>
  <c r="H53" i="1"/>
  <c r="G53" i="1"/>
  <c r="F53" i="1"/>
  <c r="E53" i="1"/>
  <c r="D53" i="1"/>
  <c r="C53" i="1"/>
  <c r="B53" i="1"/>
  <c r="I52" i="1"/>
  <c r="H52" i="1"/>
  <c r="G52" i="1"/>
  <c r="F52" i="1"/>
  <c r="E52" i="1"/>
  <c r="D52" i="1"/>
  <c r="C52" i="1"/>
  <c r="B52" i="1"/>
  <c r="I51" i="1"/>
  <c r="I62" i="1" s="1"/>
  <c r="H51" i="1"/>
  <c r="G51" i="1"/>
  <c r="F51" i="1"/>
  <c r="E51" i="1"/>
  <c r="D51" i="1"/>
  <c r="C51" i="1"/>
  <c r="B51" i="1"/>
  <c r="I50" i="1"/>
  <c r="I61" i="1" s="1"/>
  <c r="H50" i="1"/>
  <c r="G50" i="1"/>
  <c r="F50" i="1"/>
  <c r="E50" i="1"/>
  <c r="D50" i="1"/>
  <c r="C50" i="1"/>
  <c r="B50" i="1"/>
  <c r="I49" i="1"/>
  <c r="I60" i="1" s="1"/>
  <c r="H49" i="1"/>
  <c r="G49" i="1"/>
  <c r="F49" i="1"/>
  <c r="E49" i="1"/>
  <c r="D49" i="1"/>
  <c r="C49" i="1"/>
  <c r="B49" i="1"/>
  <c r="I48" i="1"/>
  <c r="H48" i="1"/>
  <c r="G48" i="1"/>
  <c r="F48" i="1"/>
  <c r="E48" i="1"/>
  <c r="D48" i="1"/>
  <c r="C48" i="1"/>
  <c r="B48" i="1"/>
  <c r="I44" i="1"/>
  <c r="H44" i="1"/>
  <c r="G44" i="1"/>
  <c r="F44" i="1"/>
  <c r="E44" i="1"/>
  <c r="D44" i="1"/>
  <c r="C44" i="1"/>
  <c r="B44" i="1"/>
  <c r="I43" i="1"/>
  <c r="H43" i="1"/>
  <c r="G43" i="1"/>
  <c r="F43" i="1"/>
  <c r="E43" i="1"/>
  <c r="D43" i="1"/>
  <c r="C43" i="1"/>
  <c r="B43" i="1"/>
  <c r="I42" i="1"/>
  <c r="H42" i="1"/>
  <c r="G42" i="1"/>
  <c r="F42" i="1"/>
  <c r="E42" i="1"/>
  <c r="D42" i="1"/>
  <c r="C42" i="1"/>
  <c r="B42" i="1"/>
  <c r="I41" i="1"/>
  <c r="H41" i="1"/>
  <c r="G41" i="1"/>
  <c r="F41" i="1"/>
  <c r="E41" i="1"/>
  <c r="D41" i="1"/>
  <c r="C41" i="1"/>
  <c r="B41" i="1"/>
  <c r="I40" i="1"/>
  <c r="H40" i="1"/>
  <c r="G40" i="1"/>
  <c r="F40" i="1"/>
  <c r="E40" i="1"/>
  <c r="D40" i="1"/>
  <c r="C40" i="1"/>
  <c r="B40" i="1"/>
  <c r="I39" i="1"/>
  <c r="H39" i="1"/>
  <c r="G39" i="1"/>
  <c r="F39" i="1"/>
  <c r="E39" i="1"/>
  <c r="D39" i="1"/>
  <c r="C39" i="1"/>
  <c r="B39" i="1"/>
  <c r="I38" i="1"/>
  <c r="H38" i="1"/>
  <c r="G38" i="1"/>
  <c r="F38" i="1"/>
  <c r="E38" i="1"/>
  <c r="D38" i="1"/>
  <c r="C38" i="1"/>
  <c r="B38" i="1"/>
  <c r="I37" i="1"/>
  <c r="H37" i="1"/>
  <c r="G37" i="1"/>
  <c r="F37" i="1"/>
  <c r="E37" i="1"/>
  <c r="D37" i="1"/>
  <c r="C37" i="1"/>
  <c r="B37" i="1"/>
  <c r="I21" i="1"/>
  <c r="I32" i="1" s="1"/>
  <c r="H21" i="1"/>
  <c r="G21" i="1"/>
  <c r="F21" i="1"/>
  <c r="E21" i="1"/>
  <c r="D21" i="1"/>
  <c r="C21" i="1"/>
  <c r="B21" i="1"/>
  <c r="I20" i="1"/>
  <c r="I31" i="1" s="1"/>
  <c r="H20" i="1"/>
  <c r="G20" i="1"/>
  <c r="F20" i="1"/>
  <c r="E20" i="1"/>
  <c r="D20" i="1"/>
  <c r="C20" i="1"/>
  <c r="B20" i="1"/>
  <c r="I19" i="1"/>
  <c r="H19" i="1"/>
  <c r="G19" i="1"/>
  <c r="F19" i="1"/>
  <c r="E19" i="1"/>
  <c r="D19" i="1"/>
  <c r="C19" i="1"/>
  <c r="B19" i="1"/>
  <c r="I18" i="1"/>
  <c r="I29" i="1" s="1"/>
  <c r="H18" i="1"/>
  <c r="G18" i="1"/>
  <c r="F18" i="1"/>
  <c r="E18" i="1"/>
  <c r="D18" i="1"/>
  <c r="C18" i="1"/>
  <c r="B18" i="1"/>
  <c r="I17" i="1"/>
  <c r="I28" i="1" s="1"/>
  <c r="H17" i="1"/>
  <c r="G17" i="1"/>
  <c r="F17" i="1"/>
  <c r="E17" i="1"/>
  <c r="D17" i="1"/>
  <c r="C17" i="1"/>
  <c r="B17" i="1"/>
  <c r="I16" i="1"/>
  <c r="I27" i="1" s="1"/>
  <c r="H16" i="1"/>
  <c r="G16" i="1"/>
  <c r="F16" i="1"/>
  <c r="E16" i="1"/>
  <c r="D16" i="1"/>
  <c r="C16" i="1"/>
  <c r="B16" i="1"/>
  <c r="I15" i="1"/>
  <c r="H15" i="1"/>
  <c r="G15" i="1"/>
  <c r="F15" i="1"/>
  <c r="E15" i="1"/>
  <c r="D15" i="1"/>
  <c r="C15" i="1"/>
  <c r="B15" i="1"/>
  <c r="I14" i="1"/>
  <c r="H14" i="1"/>
  <c r="G14" i="1"/>
  <c r="F14" i="1"/>
  <c r="E14" i="1"/>
  <c r="D14" i="1"/>
  <c r="C14" i="1"/>
  <c r="B14" i="1"/>
  <c r="I10" i="1"/>
  <c r="H10" i="1"/>
  <c r="G10" i="1"/>
  <c r="F10" i="1"/>
  <c r="E10" i="1"/>
  <c r="D10" i="1"/>
  <c r="C10" i="1"/>
  <c r="B10" i="1"/>
  <c r="I9" i="1"/>
  <c r="H9" i="1"/>
  <c r="G9" i="1"/>
  <c r="F9" i="1"/>
  <c r="E9" i="1"/>
  <c r="D9" i="1"/>
  <c r="C9" i="1"/>
  <c r="B9" i="1"/>
  <c r="I8" i="1"/>
  <c r="H8" i="1"/>
  <c r="G8" i="1"/>
  <c r="F8" i="1"/>
  <c r="E8" i="1"/>
  <c r="D8" i="1"/>
  <c r="C8" i="1"/>
  <c r="B8" i="1"/>
  <c r="I7" i="1"/>
  <c r="H7" i="1"/>
  <c r="G7" i="1"/>
  <c r="F7" i="1"/>
  <c r="E7" i="1"/>
  <c r="D7" i="1"/>
  <c r="C7" i="1"/>
  <c r="B7" i="1"/>
  <c r="I6" i="1"/>
  <c r="H6" i="1"/>
  <c r="G6" i="1"/>
  <c r="F6" i="1"/>
  <c r="E6" i="1"/>
  <c r="D6" i="1"/>
  <c r="C6" i="1"/>
  <c r="B6" i="1"/>
  <c r="I5" i="1"/>
  <c r="H5" i="1"/>
  <c r="G5" i="1"/>
  <c r="F5" i="1"/>
  <c r="E5" i="1"/>
  <c r="D5" i="1"/>
  <c r="C5" i="1"/>
  <c r="B5" i="1"/>
  <c r="I4" i="1"/>
  <c r="H4" i="1"/>
  <c r="G4" i="1"/>
  <c r="F4" i="1"/>
  <c r="E4" i="1"/>
  <c r="D4" i="1"/>
  <c r="C4" i="1"/>
  <c r="B4" i="1"/>
  <c r="I3" i="1"/>
  <c r="H3" i="1"/>
  <c r="G3" i="1"/>
  <c r="F3" i="1"/>
  <c r="E3" i="1"/>
  <c r="D3" i="1"/>
  <c r="C3" i="1"/>
  <c r="B3" i="1"/>
  <c r="E26" i="1" l="1"/>
  <c r="E27" i="1"/>
  <c r="E28" i="1"/>
  <c r="E29" i="1"/>
  <c r="E30" i="1"/>
  <c r="E31" i="1"/>
  <c r="E32" i="1"/>
  <c r="E60" i="1"/>
  <c r="E61" i="1"/>
  <c r="E62" i="1"/>
  <c r="E63" i="1"/>
  <c r="E64" i="1"/>
  <c r="E65" i="1"/>
  <c r="E66" i="1"/>
  <c r="G25" i="1"/>
  <c r="C25" i="1"/>
  <c r="C27" i="1"/>
  <c r="G29" i="1"/>
  <c r="C31" i="1"/>
  <c r="G32" i="1"/>
  <c r="G61" i="1"/>
  <c r="G66" i="1"/>
  <c r="G26" i="1"/>
  <c r="G27" i="1"/>
  <c r="G28" i="1"/>
  <c r="C30" i="1"/>
  <c r="G31" i="1"/>
  <c r="G60" i="1"/>
  <c r="C62" i="1"/>
  <c r="C63" i="1"/>
  <c r="G65" i="1"/>
  <c r="C26" i="1"/>
  <c r="C28" i="1"/>
  <c r="C29" i="1"/>
  <c r="G30" i="1"/>
  <c r="C32" i="1"/>
  <c r="C60" i="1"/>
  <c r="C61" i="1"/>
  <c r="G62" i="1"/>
  <c r="G63" i="1"/>
  <c r="C64" i="1"/>
  <c r="G64" i="1"/>
  <c r="C65" i="1"/>
  <c r="C66" i="1"/>
  <c r="B25" i="1"/>
  <c r="F25" i="1"/>
  <c r="B26" i="1"/>
  <c r="F26" i="1"/>
  <c r="B27" i="1"/>
  <c r="F27" i="1"/>
  <c r="B28" i="1"/>
  <c r="F28" i="1"/>
  <c r="B29" i="1"/>
  <c r="F29" i="1"/>
  <c r="B30" i="1"/>
  <c r="F30" i="1"/>
  <c r="B31" i="1"/>
  <c r="F31" i="1"/>
  <c r="B32" i="1"/>
  <c r="F32" i="1"/>
  <c r="B59" i="1"/>
  <c r="F59" i="1"/>
  <c r="B60" i="1"/>
  <c r="F60" i="1"/>
  <c r="B61" i="1"/>
  <c r="F61" i="1"/>
  <c r="B62" i="1"/>
  <c r="F62" i="1"/>
  <c r="B63" i="1"/>
  <c r="F63" i="1"/>
  <c r="B64" i="1"/>
  <c r="F64" i="1"/>
  <c r="B65" i="1"/>
  <c r="F65" i="1"/>
  <c r="B66" i="1"/>
  <c r="F66" i="1"/>
  <c r="B92" i="1"/>
  <c r="F92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E93" i="1"/>
  <c r="G59" i="1"/>
  <c r="I92" i="1"/>
  <c r="H99" i="1"/>
  <c r="H98" i="1"/>
  <c r="D98" i="1"/>
  <c r="D97" i="1"/>
  <c r="D96" i="1"/>
  <c r="D95" i="1"/>
  <c r="D94" i="1"/>
  <c r="D93" i="1"/>
  <c r="D25" i="1"/>
  <c r="H25" i="1"/>
  <c r="D26" i="1"/>
  <c r="H26" i="1"/>
  <c r="D27" i="1"/>
  <c r="H27" i="1"/>
  <c r="D28" i="1"/>
  <c r="H28" i="1"/>
  <c r="D29" i="1"/>
  <c r="H29" i="1"/>
  <c r="D30" i="1"/>
  <c r="H30" i="1"/>
  <c r="D31" i="1"/>
  <c r="H31" i="1"/>
  <c r="D32" i="1"/>
  <c r="H32" i="1"/>
  <c r="D59" i="1"/>
  <c r="H59" i="1"/>
  <c r="D60" i="1"/>
  <c r="H60" i="1"/>
  <c r="D61" i="1"/>
  <c r="H61" i="1"/>
  <c r="D62" i="1"/>
  <c r="H62" i="1"/>
  <c r="D63" i="1"/>
  <c r="H63" i="1"/>
  <c r="D64" i="1"/>
  <c r="H64" i="1"/>
  <c r="D65" i="1"/>
  <c r="H65" i="1"/>
  <c r="D66" i="1"/>
  <c r="H66" i="1"/>
  <c r="H92" i="1"/>
  <c r="D92" i="1"/>
  <c r="G99" i="1"/>
  <c r="C99" i="1"/>
  <c r="G98" i="1"/>
  <c r="C98" i="1"/>
  <c r="G97" i="1"/>
  <c r="C97" i="1"/>
  <c r="G96" i="1"/>
  <c r="C96" i="1"/>
  <c r="G95" i="1"/>
  <c r="C95" i="1"/>
  <c r="G94" i="1"/>
  <c r="C94" i="1"/>
  <c r="G93" i="1"/>
  <c r="C93" i="1"/>
  <c r="C59" i="1"/>
  <c r="E92" i="1"/>
  <c r="D99" i="1"/>
  <c r="H97" i="1"/>
  <c r="H96" i="1"/>
  <c r="H95" i="1"/>
  <c r="H94" i="1"/>
  <c r="H93" i="1"/>
  <c r="E25" i="1"/>
  <c r="I25" i="1"/>
  <c r="E59" i="1"/>
  <c r="I59" i="1"/>
  <c r="G92" i="1"/>
  <c r="C92" i="1"/>
  <c r="F99" i="1"/>
  <c r="B99" i="1"/>
  <c r="F98" i="1"/>
  <c r="B98" i="1"/>
  <c r="F97" i="1"/>
  <c r="B97" i="1"/>
  <c r="F96" i="1"/>
  <c r="B96" i="1"/>
  <c r="F95" i="1"/>
  <c r="B95" i="1"/>
  <c r="F94" i="1"/>
  <c r="B94" i="1"/>
  <c r="F93" i="1"/>
  <c r="B93" i="1"/>
</calcChain>
</file>

<file path=xl/sharedStrings.xml><?xml version="1.0" encoding="utf-8"?>
<sst xmlns="http://schemas.openxmlformats.org/spreadsheetml/2006/main" count="18" uniqueCount="11">
  <si>
    <t>частота\канал</t>
  </si>
  <si>
    <t>частота/канал</t>
  </si>
  <si>
    <t>Установленное значение при коэффициенте усиления BOE "-1", BOC "0"</t>
  </si>
  <si>
    <t>Измеренное значение при коэффициенте усиления BOE "-1", BOC "0"</t>
  </si>
  <si>
    <t>Погрешность при коеффициенте усления BOE "-1", BOC "0"</t>
  </si>
  <si>
    <t>Установленное значение при коэффициенте усиления BOE "-1", BOC "3"</t>
  </si>
  <si>
    <t>Измеренное значение при коэффициенте усиления BOE "-1", BOC "3"</t>
  </si>
  <si>
    <t>Погрешность при коеффициенте усления BOE "-1", BOC "3"</t>
  </si>
  <si>
    <t>Установленное значение при коэффициенте усиления BOE "0", BOC "0"</t>
  </si>
  <si>
    <t>Измеренное значение при коэффициенте усиления BOE "0", BOC "0"</t>
  </si>
  <si>
    <t>Погрешность при коеффициенте усления BOE "0", BOC "0"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</si>
</sst>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1" fillId="0" borderId="1" xfId="0" applyNumberFormat="1" applyFont="1" applyBorder="1"/>
    <xf numFmtId="0" fontId="0" fillId="0" borderId="0" xfId="0"/>
    <xf numFmtId="0" fontId="0" fillId="0" borderId="0" xfId="0" applyAlignment="1">
      <alignment horizontal="center"/>
    </xf>
  </cellXfs>
  <cellStyles count="1">
    <cellStyle name="Обычный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"/>
  <sheetViews>
    <sheetView tabSelected="1" topLeftCell="E76" workbookViewId="0">
      <selection activeCell="K13" sqref="K13"/>
    </sheetView>
  </sheetViews>
  <sheetFormatPr defaultRowHeight="15" x14ac:dyDescent="0.25"/>
  <cols>
    <col min="13" max="20" width="13.5703125" customWidth="1"/>
  </cols>
  <sheetData>
    <row r="1" spans="1:20" x14ac:dyDescent="0.25">
      <c r="A1" s="4" t="s">
        <v>2</v>
      </c>
      <c r="B1" s="4"/>
      <c r="C1" s="4"/>
      <c r="D1" s="4"/>
      <c r="E1" s="4"/>
      <c r="F1" s="4"/>
      <c r="G1" s="4"/>
      <c r="H1" s="4"/>
      <c r="I1" s="4"/>
      <c r="M1" s="3">
        <v>1.5376035E-2</v>
      </c>
      <c r="N1" s="3">
        <v>1.537591E-2</v>
      </c>
      <c r="O1" s="3">
        <v>1.5391224E-2</v>
      </c>
      <c r="P1" s="3">
        <v>1.5368181999999999E-2</v>
      </c>
      <c r="Q1" s="3">
        <v>1.5366306E-2</v>
      </c>
      <c r="R1" s="3">
        <v>1.5395584E-2</v>
      </c>
      <c r="S1" s="3">
        <v>1.528886E-2</v>
      </c>
      <c r="T1" s="3">
        <v>1.5344295000000001E-2</v>
      </c>
    </row>
    <row r="2" spans="1:20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M2" s="3">
        <v>1.5305892999999999E-2</v>
      </c>
      <c r="N2" s="3">
        <v>1.5330559000000001E-2</v>
      </c>
      <c r="O2" s="3">
        <v>1.5318595000000001E-2</v>
      </c>
      <c r="P2" s="3">
        <v>1.5323323E-2</v>
      </c>
      <c r="Q2" s="3">
        <v>1.5290596E-2</v>
      </c>
      <c r="R2" s="3">
        <v>1.5335092999999999E-2</v>
      </c>
      <c r="S2" s="3">
        <v>1.5176845E-2</v>
      </c>
      <c r="T2" s="3">
        <v>1.5262398E-2</v>
      </c>
    </row>
    <row r="3" spans="1:20" x14ac:dyDescent="0.25">
      <c r="A3">
        <v>50</v>
      </c>
      <c r="B3" s="1">
        <f>M1</f>
        <v>1.5376035E-2</v>
      </c>
      <c r="C3" s="1">
        <f t="shared" ref="C3:I10" si="0">N1</f>
        <v>1.537591E-2</v>
      </c>
      <c r="D3" s="1">
        <f t="shared" si="0"/>
        <v>1.5391224E-2</v>
      </c>
      <c r="E3" s="1">
        <f t="shared" si="0"/>
        <v>1.5368181999999999E-2</v>
      </c>
      <c r="F3" s="1">
        <f t="shared" si="0"/>
        <v>1.5366306E-2</v>
      </c>
      <c r="G3" s="1">
        <f t="shared" si="0"/>
        <v>1.5395584E-2</v>
      </c>
      <c r="H3" s="1">
        <f t="shared" si="0"/>
        <v>1.528886E-2</v>
      </c>
      <c r="I3" s="1">
        <f t="shared" si="0"/>
        <v>1.5344295000000001E-2</v>
      </c>
      <c r="M3" s="3">
        <v>1.5320057999999999E-2</v>
      </c>
      <c r="N3" s="3">
        <v>1.5341385000000001E-2</v>
      </c>
      <c r="O3" s="3">
        <v>1.5318424000000001E-2</v>
      </c>
      <c r="P3" s="3">
        <v>1.5333683000000001E-2</v>
      </c>
      <c r="Q3" s="3">
        <v>1.5292973E-2</v>
      </c>
      <c r="R3" s="3">
        <v>1.5344165E-2</v>
      </c>
      <c r="S3" s="3">
        <v>1.5187617E-2</v>
      </c>
      <c r="T3" s="3">
        <v>1.5265819999999999E-2</v>
      </c>
    </row>
    <row r="4" spans="1:20" x14ac:dyDescent="0.25">
      <c r="A4">
        <v>60</v>
      </c>
      <c r="B4" s="1">
        <f t="shared" ref="B4:B10" si="1">M2</f>
        <v>1.5305892999999999E-2</v>
      </c>
      <c r="C4" s="1">
        <f t="shared" si="0"/>
        <v>1.5330559000000001E-2</v>
      </c>
      <c r="D4" s="1">
        <f t="shared" si="0"/>
        <v>1.5318595000000001E-2</v>
      </c>
      <c r="E4" s="1">
        <f t="shared" si="0"/>
        <v>1.5323323E-2</v>
      </c>
      <c r="F4" s="1">
        <f t="shared" si="0"/>
        <v>1.5290596E-2</v>
      </c>
      <c r="G4" s="1">
        <f t="shared" si="0"/>
        <v>1.5335092999999999E-2</v>
      </c>
      <c r="H4" s="1">
        <f t="shared" si="0"/>
        <v>1.5176845E-2</v>
      </c>
      <c r="I4" s="1">
        <f t="shared" si="0"/>
        <v>1.5262398E-2</v>
      </c>
      <c r="M4" s="3">
        <v>1.5387424E-2</v>
      </c>
      <c r="N4" s="3">
        <v>1.5394990000000001E-2</v>
      </c>
      <c r="O4" s="3">
        <v>1.5376333000000001E-2</v>
      </c>
      <c r="P4" s="3">
        <v>1.5391624E-2</v>
      </c>
      <c r="Q4" s="3">
        <v>1.5357696000000001E-2</v>
      </c>
      <c r="R4" s="3">
        <v>1.5393785E-2</v>
      </c>
      <c r="S4" s="3">
        <v>1.5307537E-2</v>
      </c>
      <c r="T4" s="3">
        <v>1.5342791999999999E-2</v>
      </c>
    </row>
    <row r="5" spans="1:20" x14ac:dyDescent="0.25">
      <c r="A5">
        <v>70</v>
      </c>
      <c r="B5" s="1">
        <f t="shared" si="1"/>
        <v>1.5320057999999999E-2</v>
      </c>
      <c r="C5" s="1">
        <f t="shared" si="0"/>
        <v>1.5341385000000001E-2</v>
      </c>
      <c r="D5" s="1">
        <f t="shared" si="0"/>
        <v>1.5318424000000001E-2</v>
      </c>
      <c r="E5" s="1">
        <f t="shared" si="0"/>
        <v>1.5333683000000001E-2</v>
      </c>
      <c r="F5" s="1">
        <f t="shared" si="0"/>
        <v>1.5292973E-2</v>
      </c>
      <c r="G5" s="1">
        <f t="shared" si="0"/>
        <v>1.5344165E-2</v>
      </c>
      <c r="H5" s="1">
        <f t="shared" si="0"/>
        <v>1.5187617E-2</v>
      </c>
      <c r="I5" s="1">
        <f t="shared" si="0"/>
        <v>1.5265819999999999E-2</v>
      </c>
      <c r="M5" s="3">
        <v>1.5424235E-2</v>
      </c>
      <c r="N5" s="3">
        <v>1.5416251000000001E-2</v>
      </c>
      <c r="O5" s="3">
        <v>1.5419547E-2</v>
      </c>
      <c r="P5" s="3">
        <v>1.5417858E-2</v>
      </c>
      <c r="Q5" s="3">
        <v>1.5395139E-2</v>
      </c>
      <c r="R5" s="3">
        <v>1.5422699E-2</v>
      </c>
      <c r="S5" s="3">
        <v>1.5376453999999999E-2</v>
      </c>
      <c r="T5" s="3">
        <v>1.5395277000000001E-2</v>
      </c>
    </row>
    <row r="6" spans="1:20" x14ac:dyDescent="0.25">
      <c r="A6">
        <v>100</v>
      </c>
      <c r="B6" s="1">
        <f t="shared" si="1"/>
        <v>1.5387424E-2</v>
      </c>
      <c r="C6" s="1">
        <f t="shared" si="0"/>
        <v>1.5394990000000001E-2</v>
      </c>
      <c r="D6" s="1">
        <f t="shared" si="0"/>
        <v>1.5376333000000001E-2</v>
      </c>
      <c r="E6" s="1">
        <f t="shared" si="0"/>
        <v>1.5391624E-2</v>
      </c>
      <c r="F6" s="1">
        <f t="shared" si="0"/>
        <v>1.5357696000000001E-2</v>
      </c>
      <c r="G6" s="1">
        <f t="shared" si="0"/>
        <v>1.5393785E-2</v>
      </c>
      <c r="H6" s="1">
        <f t="shared" si="0"/>
        <v>1.5307537E-2</v>
      </c>
      <c r="I6" s="1">
        <f t="shared" si="0"/>
        <v>1.5342791999999999E-2</v>
      </c>
      <c r="M6" s="3">
        <v>1.5450648000000001E-2</v>
      </c>
      <c r="N6" s="3">
        <v>1.5437126000000001E-2</v>
      </c>
      <c r="O6" s="3">
        <v>1.5445314999999999E-2</v>
      </c>
      <c r="P6" s="3">
        <v>1.5436627E-2</v>
      </c>
      <c r="Q6" s="3">
        <v>1.5418896E-2</v>
      </c>
      <c r="R6" s="3">
        <v>1.5444869E-2</v>
      </c>
      <c r="S6" s="3">
        <v>1.5412613E-2</v>
      </c>
      <c r="T6" s="3">
        <v>1.542731E-2</v>
      </c>
    </row>
    <row r="7" spans="1:20" x14ac:dyDescent="0.25">
      <c r="A7">
        <v>140</v>
      </c>
      <c r="B7" s="1">
        <f t="shared" si="1"/>
        <v>1.5424235E-2</v>
      </c>
      <c r="C7" s="1">
        <f t="shared" si="0"/>
        <v>1.5416251000000001E-2</v>
      </c>
      <c r="D7" s="1">
        <f t="shared" si="0"/>
        <v>1.5419547E-2</v>
      </c>
      <c r="E7" s="1">
        <f t="shared" si="0"/>
        <v>1.5417858E-2</v>
      </c>
      <c r="F7" s="1">
        <f t="shared" si="0"/>
        <v>1.5395139E-2</v>
      </c>
      <c r="G7" s="1">
        <f t="shared" si="0"/>
        <v>1.5422699E-2</v>
      </c>
      <c r="H7" s="1">
        <f t="shared" si="0"/>
        <v>1.5376453999999999E-2</v>
      </c>
      <c r="I7" s="1">
        <f t="shared" si="0"/>
        <v>1.5395277000000001E-2</v>
      </c>
      <c r="M7" s="3">
        <v>1.5467297E-2</v>
      </c>
      <c r="N7" s="3">
        <v>1.5453483E-2</v>
      </c>
      <c r="O7" s="3">
        <v>1.5465311000000001E-2</v>
      </c>
      <c r="P7" s="3">
        <v>1.5453695999999999E-2</v>
      </c>
      <c r="Q7" s="3">
        <v>1.5434441E-2</v>
      </c>
      <c r="R7" s="3">
        <v>1.546058E-2</v>
      </c>
      <c r="S7" s="3">
        <v>1.5431287E-2</v>
      </c>
      <c r="T7" s="3">
        <v>1.544688E-2</v>
      </c>
    </row>
    <row r="8" spans="1:20" x14ac:dyDescent="0.25">
      <c r="A8">
        <v>180</v>
      </c>
      <c r="B8" s="1">
        <f t="shared" si="1"/>
        <v>1.5450648000000001E-2</v>
      </c>
      <c r="C8" s="1">
        <f t="shared" si="0"/>
        <v>1.5437126000000001E-2</v>
      </c>
      <c r="D8" s="1">
        <f t="shared" si="0"/>
        <v>1.5445314999999999E-2</v>
      </c>
      <c r="E8" s="1">
        <f t="shared" si="0"/>
        <v>1.5436627E-2</v>
      </c>
      <c r="F8" s="1">
        <f t="shared" si="0"/>
        <v>1.5418896E-2</v>
      </c>
      <c r="G8" s="1">
        <f t="shared" si="0"/>
        <v>1.5444869E-2</v>
      </c>
      <c r="H8" s="1">
        <f t="shared" si="0"/>
        <v>1.5412613E-2</v>
      </c>
      <c r="I8" s="1">
        <f t="shared" si="0"/>
        <v>1.542731E-2</v>
      </c>
      <c r="M8" s="3">
        <v>1.5490632000000001E-2</v>
      </c>
      <c r="N8" s="3">
        <v>1.5474174E-2</v>
      </c>
      <c r="O8" s="3">
        <v>1.5484538000000001E-2</v>
      </c>
      <c r="P8" s="3">
        <v>1.5475826999999999E-2</v>
      </c>
      <c r="Q8" s="3">
        <v>1.5462731E-2</v>
      </c>
      <c r="R8" s="3">
        <v>1.5482434999999999E-2</v>
      </c>
      <c r="S8" s="3">
        <v>1.5458355999999999E-2</v>
      </c>
      <c r="T8" s="3">
        <v>1.5470955999999999E-2</v>
      </c>
    </row>
    <row r="9" spans="1:20" x14ac:dyDescent="0.25">
      <c r="A9">
        <v>210</v>
      </c>
      <c r="B9" s="1">
        <f t="shared" si="1"/>
        <v>1.5467297E-2</v>
      </c>
      <c r="C9" s="1">
        <f t="shared" si="0"/>
        <v>1.5453483E-2</v>
      </c>
      <c r="D9" s="1">
        <f t="shared" si="0"/>
        <v>1.5465311000000001E-2</v>
      </c>
      <c r="E9" s="1">
        <f t="shared" si="0"/>
        <v>1.5453695999999999E-2</v>
      </c>
      <c r="F9" s="1">
        <f t="shared" si="0"/>
        <v>1.5434441E-2</v>
      </c>
      <c r="G9" s="1">
        <f t="shared" si="0"/>
        <v>1.546058E-2</v>
      </c>
      <c r="H9" s="1">
        <f t="shared" si="0"/>
        <v>1.5431287E-2</v>
      </c>
      <c r="I9" s="1">
        <f t="shared" si="0"/>
        <v>1.544688E-2</v>
      </c>
      <c r="M9" s="3">
        <v>8.985916E-3</v>
      </c>
      <c r="N9" s="3">
        <v>8.9683349999999992E-3</v>
      </c>
      <c r="O9" s="3">
        <v>8.8729020000000002E-3</v>
      </c>
      <c r="P9" s="3">
        <v>9.0172989999999995E-3</v>
      </c>
      <c r="Q9" s="3">
        <v>8.9233200000000002E-3</v>
      </c>
      <c r="R9" s="3">
        <v>8.9655870000000006E-3</v>
      </c>
      <c r="S9" s="3">
        <v>8.8888860000000004E-3</v>
      </c>
      <c r="T9" s="3">
        <v>8.9290859999999993E-3</v>
      </c>
    </row>
    <row r="10" spans="1:20" x14ac:dyDescent="0.25">
      <c r="A10">
        <v>250</v>
      </c>
      <c r="B10" s="1">
        <f t="shared" si="1"/>
        <v>1.5490632000000001E-2</v>
      </c>
      <c r="C10" s="1">
        <f t="shared" si="0"/>
        <v>1.5474174E-2</v>
      </c>
      <c r="D10" s="1">
        <f t="shared" si="0"/>
        <v>1.5484538000000001E-2</v>
      </c>
      <c r="E10" s="1">
        <f t="shared" si="0"/>
        <v>1.5475826999999999E-2</v>
      </c>
      <c r="F10" s="1">
        <f t="shared" si="0"/>
        <v>1.5462731E-2</v>
      </c>
      <c r="G10" s="1">
        <f t="shared" si="0"/>
        <v>1.5482434999999999E-2</v>
      </c>
      <c r="H10" s="1">
        <f t="shared" si="0"/>
        <v>1.5458355999999999E-2</v>
      </c>
      <c r="I10" s="1">
        <f t="shared" si="0"/>
        <v>1.5470955999999999E-2</v>
      </c>
      <c r="M10" s="3">
        <v>1.2896555000000001E-2</v>
      </c>
      <c r="N10" s="3">
        <v>1.2819697E-2</v>
      </c>
      <c r="O10" s="3">
        <v>1.2756648000000001E-2</v>
      </c>
      <c r="P10" s="3">
        <v>1.2875129000000001E-2</v>
      </c>
      <c r="Q10" s="3">
        <v>1.2809541000000001E-2</v>
      </c>
      <c r="R10" s="3">
        <v>1.2843141000000001E-2</v>
      </c>
      <c r="S10" s="3">
        <v>1.2857366E-2</v>
      </c>
      <c r="T10" s="3">
        <v>1.2847195E-2</v>
      </c>
    </row>
    <row r="11" spans="1:20" x14ac:dyDescent="0.25">
      <c r="M11" s="3">
        <v>1.4292417E-2</v>
      </c>
      <c r="N11" s="3">
        <v>1.4190101E-2</v>
      </c>
      <c r="O11" s="3">
        <v>1.4151115000000001E-2</v>
      </c>
      <c r="P11" s="3">
        <v>1.4236709E-2</v>
      </c>
      <c r="Q11" s="3">
        <v>1.4195940000000001E-2</v>
      </c>
      <c r="R11" s="3">
        <v>1.4232452E-2</v>
      </c>
      <c r="S11" s="3">
        <v>1.4270338E-2</v>
      </c>
      <c r="T11" s="3">
        <v>1.425939E-2</v>
      </c>
    </row>
    <row r="12" spans="1:20" x14ac:dyDescent="0.25">
      <c r="A12" s="4" t="s">
        <v>3</v>
      </c>
      <c r="B12" s="4"/>
      <c r="C12" s="4"/>
      <c r="D12" s="4"/>
      <c r="E12" s="4"/>
      <c r="F12" s="4"/>
      <c r="G12" s="4"/>
      <c r="H12" s="4"/>
      <c r="I12" s="4"/>
      <c r="M12" s="3">
        <v>1.4789633E-2</v>
      </c>
      <c r="N12" s="3">
        <v>1.4681454E-2</v>
      </c>
      <c r="O12" s="3">
        <v>1.4664734E-2</v>
      </c>
      <c r="P12" s="3">
        <v>1.4720458000000001E-2</v>
      </c>
      <c r="Q12" s="3">
        <v>1.4680418000000001E-2</v>
      </c>
      <c r="R12" s="3">
        <v>1.4744762999999999E-2</v>
      </c>
      <c r="S12" s="3">
        <v>1.4699577E-2</v>
      </c>
      <c r="T12" s="3">
        <v>1.4753726E-2</v>
      </c>
    </row>
    <row r="13" spans="1:20" x14ac:dyDescent="0.25">
      <c r="A13" t="s">
        <v>0</v>
      </c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M13" s="3">
        <v>1.4701643E-2</v>
      </c>
      <c r="N13" s="3">
        <v>1.4636616999999999E-2</v>
      </c>
      <c r="O13" s="3">
        <v>1.460235E-2</v>
      </c>
      <c r="P13" s="3">
        <v>1.4660184E-2</v>
      </c>
      <c r="Q13" s="3">
        <v>1.4591923999999999E-2</v>
      </c>
      <c r="R13" s="3">
        <v>1.4672404E-2</v>
      </c>
      <c r="S13" s="3">
        <v>1.4565448999999999E-2</v>
      </c>
      <c r="T13" s="3">
        <v>1.464184E-2</v>
      </c>
    </row>
    <row r="14" spans="1:20" x14ac:dyDescent="0.25">
      <c r="A14">
        <v>50</v>
      </c>
      <c r="B14" s="1">
        <f>M9</f>
        <v>8.985916E-3</v>
      </c>
      <c r="C14" s="1">
        <f t="shared" ref="C14:I21" si="2">N9</f>
        <v>8.9683349999999992E-3</v>
      </c>
      <c r="D14" s="1">
        <f t="shared" si="2"/>
        <v>8.8729020000000002E-3</v>
      </c>
      <c r="E14" s="1">
        <f t="shared" si="2"/>
        <v>9.0172989999999995E-3</v>
      </c>
      <c r="F14" s="1">
        <f t="shared" si="2"/>
        <v>8.9233200000000002E-3</v>
      </c>
      <c r="G14" s="1">
        <f t="shared" si="2"/>
        <v>8.9655870000000006E-3</v>
      </c>
      <c r="H14" s="1">
        <f t="shared" si="2"/>
        <v>8.8888860000000004E-3</v>
      </c>
      <c r="I14" s="1">
        <f t="shared" si="2"/>
        <v>8.9290859999999993E-3</v>
      </c>
      <c r="M14" s="3">
        <v>1.4582238000000001E-2</v>
      </c>
      <c r="N14" s="3">
        <v>1.4572541E-2</v>
      </c>
      <c r="O14" s="3">
        <v>1.4506811E-2</v>
      </c>
      <c r="P14" s="3">
        <v>1.457554E-2</v>
      </c>
      <c r="Q14" s="3">
        <v>1.4458726999999999E-2</v>
      </c>
      <c r="R14" s="3">
        <v>1.4538061E-2</v>
      </c>
      <c r="S14" s="3">
        <v>1.4420420999999999E-2</v>
      </c>
      <c r="T14" s="3">
        <v>1.4504530999999999E-2</v>
      </c>
    </row>
    <row r="15" spans="1:20" x14ac:dyDescent="0.25">
      <c r="A15">
        <v>60</v>
      </c>
      <c r="B15" s="1">
        <f t="shared" ref="B15:B21" si="3">M10</f>
        <v>1.2896555000000001E-2</v>
      </c>
      <c r="C15" s="1">
        <f t="shared" si="2"/>
        <v>1.2819697E-2</v>
      </c>
      <c r="D15" s="1">
        <f t="shared" si="2"/>
        <v>1.2756648000000001E-2</v>
      </c>
      <c r="E15" s="1">
        <f t="shared" si="2"/>
        <v>1.2875129000000001E-2</v>
      </c>
      <c r="F15" s="1">
        <f t="shared" si="2"/>
        <v>1.2809541000000001E-2</v>
      </c>
      <c r="G15" s="1">
        <f t="shared" si="2"/>
        <v>1.2843141000000001E-2</v>
      </c>
      <c r="H15" s="1">
        <f t="shared" si="2"/>
        <v>1.2857366E-2</v>
      </c>
      <c r="I15" s="1">
        <f t="shared" si="2"/>
        <v>1.2847195E-2</v>
      </c>
      <c r="M15" s="3">
        <v>1.3981667E-2</v>
      </c>
      <c r="N15" s="3">
        <v>1.4047521E-2</v>
      </c>
      <c r="O15" s="3">
        <v>1.3962280000000001E-2</v>
      </c>
      <c r="P15" s="3">
        <v>1.4055382999999999E-2</v>
      </c>
      <c r="Q15" s="3">
        <v>1.3871331000000001E-2</v>
      </c>
      <c r="R15" s="3">
        <v>1.3936169E-2</v>
      </c>
      <c r="S15" s="3">
        <v>1.3855258000000001E-2</v>
      </c>
      <c r="T15" s="3">
        <v>1.3912627E-2</v>
      </c>
    </row>
    <row r="16" spans="1:20" x14ac:dyDescent="0.25">
      <c r="A16">
        <v>70</v>
      </c>
      <c r="B16" s="1">
        <f t="shared" si="3"/>
        <v>1.4292417E-2</v>
      </c>
      <c r="C16" s="1">
        <f t="shared" si="2"/>
        <v>1.4190101E-2</v>
      </c>
      <c r="D16" s="1">
        <f t="shared" si="2"/>
        <v>1.4151115000000001E-2</v>
      </c>
      <c r="E16" s="1">
        <f t="shared" si="2"/>
        <v>1.4236709E-2</v>
      </c>
      <c r="F16" s="1">
        <f t="shared" si="2"/>
        <v>1.4195940000000001E-2</v>
      </c>
      <c r="G16" s="1">
        <f t="shared" si="2"/>
        <v>1.4232452E-2</v>
      </c>
      <c r="H16" s="1">
        <f t="shared" si="2"/>
        <v>1.4270338E-2</v>
      </c>
      <c r="I16" s="1">
        <f t="shared" si="2"/>
        <v>1.425939E-2</v>
      </c>
      <c r="M16" s="3">
        <v>1.1421339000000001E-2</v>
      </c>
      <c r="N16" s="3">
        <v>1.1611799000000001E-2</v>
      </c>
      <c r="O16" s="3">
        <v>1.1520239E-2</v>
      </c>
      <c r="P16" s="3">
        <v>1.1648794000000001E-2</v>
      </c>
      <c r="Q16" s="3">
        <v>1.1346047E-2</v>
      </c>
      <c r="R16" s="3">
        <v>1.1378055E-2</v>
      </c>
      <c r="S16" s="3">
        <v>1.1398449E-2</v>
      </c>
      <c r="T16" s="3">
        <v>1.1392868E-2</v>
      </c>
    </row>
    <row r="17" spans="1:20" x14ac:dyDescent="0.25">
      <c r="A17">
        <v>100</v>
      </c>
      <c r="B17" s="1">
        <f t="shared" si="3"/>
        <v>1.4789633E-2</v>
      </c>
      <c r="C17" s="1">
        <f t="shared" si="2"/>
        <v>1.4681454E-2</v>
      </c>
      <c r="D17" s="1">
        <f t="shared" si="2"/>
        <v>1.4664734E-2</v>
      </c>
      <c r="E17" s="1">
        <f t="shared" si="2"/>
        <v>1.4720458000000001E-2</v>
      </c>
      <c r="F17" s="1">
        <f t="shared" si="2"/>
        <v>1.4680418000000001E-2</v>
      </c>
      <c r="G17" s="1">
        <f t="shared" si="2"/>
        <v>1.4744762999999999E-2</v>
      </c>
      <c r="H17" s="1">
        <f t="shared" si="2"/>
        <v>1.4699577E-2</v>
      </c>
      <c r="I17" s="1">
        <f t="shared" si="2"/>
        <v>1.4753726E-2</v>
      </c>
      <c r="M17" s="3">
        <v>1.5375669999999999E-2</v>
      </c>
      <c r="N17" s="3">
        <v>1.5377666E-2</v>
      </c>
      <c r="O17" s="3">
        <v>1.5388990999999999E-2</v>
      </c>
      <c r="P17" s="3">
        <v>1.5366177999999999E-2</v>
      </c>
      <c r="Q17" s="3">
        <v>1.5365943999999999E-2</v>
      </c>
      <c r="R17" s="3">
        <v>1.5399579E-2</v>
      </c>
      <c r="S17" s="3">
        <v>1.5290356999999999E-2</v>
      </c>
      <c r="T17" s="3">
        <v>1.534628E-2</v>
      </c>
    </row>
    <row r="18" spans="1:20" x14ac:dyDescent="0.25">
      <c r="A18">
        <v>140</v>
      </c>
      <c r="B18" s="1">
        <f t="shared" si="3"/>
        <v>1.4701643E-2</v>
      </c>
      <c r="C18" s="1">
        <f t="shared" si="2"/>
        <v>1.4636616999999999E-2</v>
      </c>
      <c r="D18" s="1">
        <f t="shared" si="2"/>
        <v>1.460235E-2</v>
      </c>
      <c r="E18" s="1">
        <f t="shared" si="2"/>
        <v>1.4660184E-2</v>
      </c>
      <c r="F18" s="1">
        <f t="shared" si="2"/>
        <v>1.4591923999999999E-2</v>
      </c>
      <c r="G18" s="1">
        <f t="shared" si="2"/>
        <v>1.4672404E-2</v>
      </c>
      <c r="H18" s="1">
        <f t="shared" si="2"/>
        <v>1.4565448999999999E-2</v>
      </c>
      <c r="I18" s="1">
        <f t="shared" si="2"/>
        <v>1.464184E-2</v>
      </c>
      <c r="M18" s="3">
        <v>1.5309168E-2</v>
      </c>
      <c r="N18" s="3">
        <v>1.5330808E-2</v>
      </c>
      <c r="O18" s="3">
        <v>1.5316252000000001E-2</v>
      </c>
      <c r="P18" s="3">
        <v>1.532235E-2</v>
      </c>
      <c r="Q18" s="3">
        <v>1.5290758999999999E-2</v>
      </c>
      <c r="R18" s="3">
        <v>1.5338831000000001E-2</v>
      </c>
      <c r="S18" s="3">
        <v>1.517571E-2</v>
      </c>
      <c r="T18" s="3">
        <v>1.5264967000000001E-2</v>
      </c>
    </row>
    <row r="19" spans="1:20" x14ac:dyDescent="0.25">
      <c r="A19">
        <v>180</v>
      </c>
      <c r="B19" s="1">
        <f t="shared" si="3"/>
        <v>1.4582238000000001E-2</v>
      </c>
      <c r="C19" s="1">
        <f t="shared" si="2"/>
        <v>1.4572541E-2</v>
      </c>
      <c r="D19" s="1">
        <f t="shared" si="2"/>
        <v>1.4506811E-2</v>
      </c>
      <c r="E19" s="1">
        <f t="shared" si="2"/>
        <v>1.457554E-2</v>
      </c>
      <c r="F19" s="1">
        <f t="shared" si="2"/>
        <v>1.4458726999999999E-2</v>
      </c>
      <c r="G19" s="1">
        <f t="shared" si="2"/>
        <v>1.4538061E-2</v>
      </c>
      <c r="H19" s="1">
        <f t="shared" si="2"/>
        <v>1.4420420999999999E-2</v>
      </c>
      <c r="I19" s="1">
        <f t="shared" si="2"/>
        <v>1.4504530999999999E-2</v>
      </c>
      <c r="M19" s="3">
        <v>1.5318884E-2</v>
      </c>
      <c r="N19" s="3">
        <v>1.5343228E-2</v>
      </c>
      <c r="O19" s="3">
        <v>1.5319531000000001E-2</v>
      </c>
      <c r="P19" s="3">
        <v>1.5340347000000001E-2</v>
      </c>
      <c r="Q19" s="3">
        <v>1.5297453000000001E-2</v>
      </c>
      <c r="R19" s="3">
        <v>1.5346501E-2</v>
      </c>
      <c r="S19" s="3">
        <v>1.5188333E-2</v>
      </c>
      <c r="T19" s="3">
        <v>1.5267694E-2</v>
      </c>
    </row>
    <row r="20" spans="1:20" x14ac:dyDescent="0.25">
      <c r="A20">
        <v>210</v>
      </c>
      <c r="B20" s="1">
        <f t="shared" si="3"/>
        <v>1.3981667E-2</v>
      </c>
      <c r="C20" s="1">
        <f t="shared" si="2"/>
        <v>1.4047521E-2</v>
      </c>
      <c r="D20" s="1">
        <f t="shared" si="2"/>
        <v>1.3962280000000001E-2</v>
      </c>
      <c r="E20" s="1">
        <f t="shared" si="2"/>
        <v>1.4055382999999999E-2</v>
      </c>
      <c r="F20" s="1">
        <f t="shared" si="2"/>
        <v>1.3871331000000001E-2</v>
      </c>
      <c r="G20" s="1">
        <f t="shared" si="2"/>
        <v>1.3936169E-2</v>
      </c>
      <c r="H20" s="1">
        <f t="shared" si="2"/>
        <v>1.3855258000000001E-2</v>
      </c>
      <c r="I20" s="1">
        <f t="shared" si="2"/>
        <v>1.3912627E-2</v>
      </c>
      <c r="M20" s="3">
        <v>1.5390482E-2</v>
      </c>
      <c r="N20" s="3">
        <v>1.5396429999999999E-2</v>
      </c>
      <c r="O20" s="3">
        <v>1.5377711000000001E-2</v>
      </c>
      <c r="P20" s="3">
        <v>1.5394699E-2</v>
      </c>
      <c r="Q20" s="3">
        <v>1.536245E-2</v>
      </c>
      <c r="R20" s="3">
        <v>1.5398093E-2</v>
      </c>
      <c r="S20" s="3">
        <v>1.5310285E-2</v>
      </c>
      <c r="T20" s="3">
        <v>1.5347315E-2</v>
      </c>
    </row>
    <row r="21" spans="1:20" x14ac:dyDescent="0.25">
      <c r="A21">
        <v>250</v>
      </c>
      <c r="B21" s="1">
        <f t="shared" si="3"/>
        <v>1.1421339000000001E-2</v>
      </c>
      <c r="C21" s="1">
        <f t="shared" si="2"/>
        <v>1.1611799000000001E-2</v>
      </c>
      <c r="D21" s="1">
        <f t="shared" si="2"/>
        <v>1.1520239E-2</v>
      </c>
      <c r="E21" s="1">
        <f t="shared" si="2"/>
        <v>1.1648794000000001E-2</v>
      </c>
      <c r="F21" s="1">
        <f t="shared" si="2"/>
        <v>1.1346047E-2</v>
      </c>
      <c r="G21" s="1">
        <f t="shared" si="2"/>
        <v>1.1378055E-2</v>
      </c>
      <c r="H21" s="1">
        <f t="shared" si="2"/>
        <v>1.1398449E-2</v>
      </c>
      <c r="I21" s="1">
        <f t="shared" si="2"/>
        <v>1.1392868E-2</v>
      </c>
      <c r="M21" s="3">
        <v>1.5428266E-2</v>
      </c>
      <c r="N21" s="3">
        <v>1.5419347E-2</v>
      </c>
      <c r="O21" s="3">
        <v>1.5418766E-2</v>
      </c>
      <c r="P21" s="3">
        <v>1.5418616E-2</v>
      </c>
      <c r="Q21" s="3">
        <v>1.539627E-2</v>
      </c>
      <c r="R21" s="3">
        <v>1.5424863E-2</v>
      </c>
      <c r="S21" s="3">
        <v>1.5377003E-2</v>
      </c>
      <c r="T21" s="3">
        <v>1.5394955E-2</v>
      </c>
    </row>
    <row r="22" spans="1:20" x14ac:dyDescent="0.25">
      <c r="M22" s="3">
        <v>1.5449371E-2</v>
      </c>
      <c r="N22" s="3">
        <v>1.5436352E-2</v>
      </c>
      <c r="O22" s="3">
        <v>1.5444223E-2</v>
      </c>
      <c r="P22" s="3">
        <v>1.5436355000000001E-2</v>
      </c>
      <c r="Q22" s="3">
        <v>1.5419452E-2</v>
      </c>
      <c r="R22" s="3">
        <v>1.5445212999999999E-2</v>
      </c>
      <c r="S22" s="3">
        <v>1.5412172999999999E-2</v>
      </c>
      <c r="T22" s="3">
        <v>1.5425555000000001E-2</v>
      </c>
    </row>
    <row r="23" spans="1:20" x14ac:dyDescent="0.25">
      <c r="A23" s="5" t="s">
        <v>4</v>
      </c>
      <c r="B23" s="5"/>
      <c r="C23" s="5"/>
      <c r="D23" s="5"/>
      <c r="E23" s="5"/>
      <c r="F23" s="5"/>
      <c r="G23" s="5"/>
      <c r="H23" s="5"/>
      <c r="I23" s="5"/>
      <c r="M23" s="3">
        <v>1.5466885E-2</v>
      </c>
      <c r="N23" s="3">
        <v>1.5450837E-2</v>
      </c>
      <c r="O23" s="3">
        <v>1.5464853000000001E-2</v>
      </c>
      <c r="P23" s="3">
        <v>1.5453527999999999E-2</v>
      </c>
      <c r="Q23" s="3">
        <v>1.543607E-2</v>
      </c>
      <c r="R23" s="3">
        <v>1.5463789E-2</v>
      </c>
      <c r="S23" s="3">
        <v>1.5432859E-2</v>
      </c>
      <c r="T23" s="3">
        <v>1.5450679E-2</v>
      </c>
    </row>
    <row r="24" spans="1:20" x14ac:dyDescent="0.25">
      <c r="A24" t="s">
        <v>0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  <c r="M24" s="3">
        <v>1.5493457E-2</v>
      </c>
      <c r="N24" s="3">
        <v>1.5475907000000001E-2</v>
      </c>
      <c r="O24" s="3">
        <v>1.5485989E-2</v>
      </c>
      <c r="P24" s="3">
        <v>1.5478252E-2</v>
      </c>
      <c r="Q24" s="3">
        <v>1.5462424000000001E-2</v>
      </c>
      <c r="R24" s="3">
        <v>1.5485408000000001E-2</v>
      </c>
      <c r="S24" s="3">
        <v>1.5460293E-2</v>
      </c>
      <c r="T24" s="3">
        <v>1.5477258000000001E-2</v>
      </c>
    </row>
    <row r="25" spans="1:20" x14ac:dyDescent="0.25">
      <c r="A25">
        <v>50</v>
      </c>
      <c r="B25" s="2">
        <f>20*LOG(((B14)*B$6)/(B3*(B$17)), 10)</f>
        <v>-4.3214696143988984</v>
      </c>
      <c r="C25" s="2">
        <f t="shared" ref="C25:I25" si="4">20*LOG(((C14)*C$6)/(C3*(C$17)), 10)</f>
        <v>-4.2703732696348879</v>
      </c>
      <c r="D25" s="2">
        <f t="shared" si="4"/>
        <v>-4.372577760992753</v>
      </c>
      <c r="E25" s="2">
        <f t="shared" si="4"/>
        <v>-4.2436580321311199</v>
      </c>
      <c r="F25" s="2">
        <f t="shared" si="4"/>
        <v>-4.3291072945240909</v>
      </c>
      <c r="G25" s="2">
        <f t="shared" si="4"/>
        <v>-4.3221963623064061</v>
      </c>
      <c r="H25" s="2">
        <f t="shared" si="4"/>
        <v>-4.3585457422889924</v>
      </c>
      <c r="I25" s="2">
        <f t="shared" si="4"/>
        <v>-4.3627449953402806</v>
      </c>
      <c r="M25" s="3">
        <v>9.1777060000000008E-3</v>
      </c>
      <c r="N25" s="3">
        <v>9.171383E-3</v>
      </c>
      <c r="O25" s="3">
        <v>9.0899499999999994E-3</v>
      </c>
      <c r="P25" s="3">
        <v>9.233069E-3</v>
      </c>
      <c r="Q25" s="3">
        <v>9.1374620000000007E-3</v>
      </c>
      <c r="R25" s="3">
        <v>9.1664499999999996E-3</v>
      </c>
      <c r="S25" s="3">
        <v>9.0865879999999996E-3</v>
      </c>
      <c r="T25" s="3">
        <v>9.1434689999999996E-3</v>
      </c>
    </row>
    <row r="26" spans="1:20" x14ac:dyDescent="0.25">
      <c r="A26">
        <v>60</v>
      </c>
      <c r="B26" s="2">
        <f t="shared" ref="B26:I26" si="5">20*LOG(((B15)*B$6)/(B4*(B$17)), 10)</f>
        <v>-1.1435286932881064</v>
      </c>
      <c r="C26" s="2">
        <f t="shared" si="5"/>
        <v>-1.1413977584423898</v>
      </c>
      <c r="D26" s="2">
        <f t="shared" si="5"/>
        <v>-1.1780755254095265</v>
      </c>
      <c r="E26" s="2">
        <f t="shared" si="5"/>
        <v>-1.124764881614712</v>
      </c>
      <c r="F26" s="2">
        <f t="shared" si="5"/>
        <v>-1.1460640117069705</v>
      </c>
      <c r="G26" s="2">
        <f t="shared" si="5"/>
        <v>-1.1661508654714874</v>
      </c>
      <c r="H26" s="2">
        <f t="shared" si="5"/>
        <v>-1.0885802325635594</v>
      </c>
      <c r="I26" s="2">
        <f t="shared" si="5"/>
        <v>-1.156235494201634</v>
      </c>
      <c r="M26" s="3">
        <v>1.3138046E-2</v>
      </c>
      <c r="N26" s="3">
        <v>1.3071134E-2</v>
      </c>
      <c r="O26" s="3">
        <v>1.3018643999999999E-2</v>
      </c>
      <c r="P26" s="3">
        <v>1.3143881E-2</v>
      </c>
      <c r="Q26" s="3">
        <v>1.3078963000000001E-2</v>
      </c>
      <c r="R26" s="3">
        <v>1.3086079E-2</v>
      </c>
      <c r="S26" s="3">
        <v>1.3111291000000001E-2</v>
      </c>
      <c r="T26" s="3">
        <v>1.3109829999999999E-2</v>
      </c>
    </row>
    <row r="27" spans="1:20" x14ac:dyDescent="0.25">
      <c r="A27">
        <v>70</v>
      </c>
      <c r="B27" s="2">
        <f t="shared" ref="B27:I27" si="6">20*LOG(((B16)*B$6)/(B5*(B$17)), 10)</f>
        <v>-0.25892413988106289</v>
      </c>
      <c r="C27" s="2">
        <f t="shared" si="6"/>
        <v>-0.26537479758349675</v>
      </c>
      <c r="D27" s="2">
        <f t="shared" si="6"/>
        <v>-0.27689679918788113</v>
      </c>
      <c r="E27" s="2">
        <f t="shared" si="6"/>
        <v>-0.25747499080257219</v>
      </c>
      <c r="F27" s="2">
        <f t="shared" si="6"/>
        <v>-0.25480243170557026</v>
      </c>
      <c r="G27" s="2">
        <f t="shared" si="6"/>
        <v>-0.27911823675154684</v>
      </c>
      <c r="H27" s="2">
        <f t="shared" si="6"/>
        <v>-0.18909793132738123</v>
      </c>
      <c r="I27" s="2">
        <f t="shared" si="6"/>
        <v>-0.25233012468488153</v>
      </c>
      <c r="M27" s="3">
        <v>1.454047E-2</v>
      </c>
      <c r="N27" s="3">
        <v>1.4450714E-2</v>
      </c>
      <c r="O27" s="3">
        <v>1.4421216000000001E-2</v>
      </c>
      <c r="P27" s="3">
        <v>1.4511537E-2</v>
      </c>
      <c r="Q27" s="3">
        <v>1.4477686E-2</v>
      </c>
      <c r="R27" s="3">
        <v>1.4489207E-2</v>
      </c>
      <c r="S27" s="3">
        <v>1.4532478E-2</v>
      </c>
      <c r="T27" s="3">
        <v>1.4524854E-2</v>
      </c>
    </row>
    <row r="28" spans="1:20" x14ac:dyDescent="0.25">
      <c r="A28">
        <v>100</v>
      </c>
      <c r="B28" s="2">
        <f t="shared" ref="B28:I28" si="7">20*LOG(((B17)*B$6)/(B6*(B$17)), 10)</f>
        <v>0</v>
      </c>
      <c r="C28" s="2">
        <f t="shared" si="7"/>
        <v>0</v>
      </c>
      <c r="D28" s="2">
        <f t="shared" si="7"/>
        <v>0</v>
      </c>
      <c r="E28" s="2">
        <f t="shared" si="7"/>
        <v>0</v>
      </c>
      <c r="F28" s="2">
        <f t="shared" si="7"/>
        <v>0</v>
      </c>
      <c r="G28" s="2">
        <f t="shared" si="7"/>
        <v>0</v>
      </c>
      <c r="H28" s="2">
        <f t="shared" si="7"/>
        <v>0</v>
      </c>
      <c r="I28" s="2">
        <f t="shared" si="7"/>
        <v>0</v>
      </c>
      <c r="M28" s="3">
        <v>1.5011606E-2</v>
      </c>
      <c r="N28" s="3">
        <v>1.4909253000000001E-2</v>
      </c>
      <c r="O28" s="3">
        <v>1.4900296E-2</v>
      </c>
      <c r="P28" s="3">
        <v>1.4952145999999999E-2</v>
      </c>
      <c r="Q28" s="3">
        <v>1.4922763E-2</v>
      </c>
      <c r="R28" s="3">
        <v>1.4968993E-2</v>
      </c>
      <c r="S28" s="3">
        <v>1.4927147999999999E-2</v>
      </c>
      <c r="T28" s="3">
        <v>1.4981971E-2</v>
      </c>
    </row>
    <row r="29" spans="1:20" x14ac:dyDescent="0.25">
      <c r="A29">
        <v>140</v>
      </c>
      <c r="B29" s="2">
        <f t="shared" ref="B29:I29" si="8">20*LOG(((B18)*B$6)/(B7*(B$17)), 10)</f>
        <v>-7.2584743588500464E-2</v>
      </c>
      <c r="C29" s="2">
        <f t="shared" si="8"/>
        <v>-3.8554431463447197E-2</v>
      </c>
      <c r="D29" s="2">
        <f t="shared" si="8"/>
        <v>-6.1405507627318862E-2</v>
      </c>
      <c r="E29" s="2">
        <f t="shared" si="8"/>
        <v>-5.0429945501508866E-2</v>
      </c>
      <c r="F29" s="2">
        <f t="shared" si="8"/>
        <v>-7.3668206303857134E-2</v>
      </c>
      <c r="G29" s="2">
        <f t="shared" si="8"/>
        <v>-5.902971444548117E-2</v>
      </c>
      <c r="H29" s="2">
        <f t="shared" si="8"/>
        <v>-0.11863672256063537</v>
      </c>
      <c r="I29" s="2">
        <f t="shared" si="8"/>
        <v>-9.5783337271758764E-2</v>
      </c>
      <c r="M29" s="3">
        <v>1.4851836E-2</v>
      </c>
      <c r="N29" s="3">
        <v>1.4793120999999999E-2</v>
      </c>
      <c r="O29" s="3">
        <v>1.4760192E-2</v>
      </c>
      <c r="P29" s="3">
        <v>1.4817568E-2</v>
      </c>
      <c r="Q29" s="3">
        <v>1.4763116E-2</v>
      </c>
      <c r="R29" s="3">
        <v>1.4817163E-2</v>
      </c>
      <c r="S29" s="3">
        <v>1.4719731E-2</v>
      </c>
      <c r="T29" s="3">
        <v>1.4800363E-2</v>
      </c>
    </row>
    <row r="30" spans="1:20" x14ac:dyDescent="0.25">
      <c r="A30">
        <v>180</v>
      </c>
      <c r="B30" s="2">
        <f t="shared" ref="B30:I30" si="9">20*LOG(((B19)*B$6)/(B8*(B$17)), 10)</f>
        <v>-0.15827985207385914</v>
      </c>
      <c r="C30" s="2">
        <f t="shared" si="9"/>
        <v>-8.8416412850498713E-2</v>
      </c>
      <c r="D30" s="2">
        <f t="shared" si="9"/>
        <v>-0.13292462110536857</v>
      </c>
      <c r="E30" s="2">
        <f t="shared" si="9"/>
        <v>-0.11129267295693045</v>
      </c>
      <c r="F30" s="2">
        <f t="shared" si="9"/>
        <v>-0.16671152638702819</v>
      </c>
      <c r="G30" s="2">
        <f t="shared" si="9"/>
        <v>-0.15140243965818517</v>
      </c>
      <c r="H30" s="2">
        <f t="shared" si="9"/>
        <v>-0.2259570744142321</v>
      </c>
      <c r="I30" s="2">
        <f t="shared" si="9"/>
        <v>-0.19567664202728607</v>
      </c>
      <c r="M30" s="3">
        <v>1.4627967E-2</v>
      </c>
      <c r="N30" s="3">
        <v>1.4622161E-2</v>
      </c>
      <c r="O30" s="3">
        <v>1.4561447999999999E-2</v>
      </c>
      <c r="P30" s="3">
        <v>1.4641372E-2</v>
      </c>
      <c r="Q30" s="3">
        <v>1.4519815E-2</v>
      </c>
      <c r="R30" s="3">
        <v>1.4588353E-2</v>
      </c>
      <c r="S30" s="3">
        <v>1.448259E-2</v>
      </c>
      <c r="T30" s="3">
        <v>1.4555444000000001E-2</v>
      </c>
    </row>
    <row r="31" spans="1:20" x14ac:dyDescent="0.25">
      <c r="A31">
        <v>210</v>
      </c>
      <c r="B31" s="2">
        <f t="shared" ref="B31:I31" si="10">20*LOG(((B20)*B$6)/(B9*(B$17)), 10)</f>
        <v>-0.53293893621245836</v>
      </c>
      <c r="C31" s="2">
        <f t="shared" si="10"/>
        <v>-0.41632692605474098</v>
      </c>
      <c r="D31" s="2">
        <f t="shared" si="10"/>
        <v>-0.47647457603601273</v>
      </c>
      <c r="E31" s="2">
        <f t="shared" si="10"/>
        <v>-0.43653114674231724</v>
      </c>
      <c r="F31" s="2">
        <f t="shared" si="10"/>
        <v>-0.53570249620754318</v>
      </c>
      <c r="G31" s="2">
        <f t="shared" si="10"/>
        <v>-0.52749515548907044</v>
      </c>
      <c r="H31" s="2">
        <f t="shared" si="10"/>
        <v>-0.58374102086030355</v>
      </c>
      <c r="I31" s="2">
        <f t="shared" si="10"/>
        <v>-0.56857894385884045</v>
      </c>
      <c r="M31" s="3">
        <v>1.3947795000000001E-2</v>
      </c>
      <c r="N31" s="3">
        <v>1.4004518000000001E-2</v>
      </c>
      <c r="O31" s="3">
        <v>1.3934732999999999E-2</v>
      </c>
      <c r="P31" s="3">
        <v>1.4033811E-2</v>
      </c>
      <c r="Q31" s="3">
        <v>1.38382E-2</v>
      </c>
      <c r="R31" s="3">
        <v>1.3909871000000001E-2</v>
      </c>
      <c r="S31" s="3">
        <v>1.3834123E-2</v>
      </c>
      <c r="T31" s="3">
        <v>1.387715E-2</v>
      </c>
    </row>
    <row r="32" spans="1:20" x14ac:dyDescent="0.25">
      <c r="A32">
        <v>250</v>
      </c>
      <c r="B32" s="2">
        <f t="shared" ref="B32:I32" si="11">20*LOG(((B21)*B$6)/(B10*(B$17)), 10)</f>
        <v>-2.3028718204946403</v>
      </c>
      <c r="C32" s="2">
        <f t="shared" si="11"/>
        <v>-2.0819524795615081</v>
      </c>
      <c r="D32" s="2">
        <f t="shared" si="11"/>
        <v>-2.1571635423992195</v>
      </c>
      <c r="E32" s="2">
        <f t="shared" si="11"/>
        <v>-2.0801955607375753</v>
      </c>
      <c r="F32" s="2">
        <f t="shared" si="11"/>
        <v>-2.2970795466652123</v>
      </c>
      <c r="G32" s="2">
        <f t="shared" si="11"/>
        <v>-2.3012723264040917</v>
      </c>
      <c r="H32" s="2">
        <f t="shared" si="11"/>
        <v>-2.2943412795830391</v>
      </c>
      <c r="I32" s="2">
        <f t="shared" si="11"/>
        <v>-2.3176280327801888</v>
      </c>
      <c r="M32" s="3">
        <v>1.1283257999999999E-2</v>
      </c>
      <c r="N32" s="3">
        <v>1.1460112E-2</v>
      </c>
      <c r="O32" s="3">
        <v>1.1402773E-2</v>
      </c>
      <c r="P32" s="3">
        <v>1.1532779999999999E-2</v>
      </c>
      <c r="Q32" s="3">
        <v>1.1205911000000001E-2</v>
      </c>
      <c r="R32" s="3">
        <v>1.1256657999999999E-2</v>
      </c>
      <c r="S32" s="3">
        <v>1.1291907E-2</v>
      </c>
      <c r="T32" s="3">
        <v>1.1257814E-2</v>
      </c>
    </row>
    <row r="33" spans="1:20" x14ac:dyDescent="0.25">
      <c r="M33" s="3">
        <v>1.5380922E-2</v>
      </c>
      <c r="N33" s="3">
        <v>1.5383163E-2</v>
      </c>
      <c r="O33" s="3">
        <v>1.539715E-2</v>
      </c>
      <c r="P33" s="3">
        <v>1.5370943999999999E-2</v>
      </c>
      <c r="Q33" s="3">
        <v>1.5370253E-2</v>
      </c>
      <c r="R33" s="3">
        <v>1.5403902000000001E-2</v>
      </c>
      <c r="S33" s="3">
        <v>1.5296475E-2</v>
      </c>
      <c r="T33" s="3">
        <v>1.5350206999999999E-2</v>
      </c>
    </row>
    <row r="34" spans="1:20" x14ac:dyDescent="0.25">
      <c r="M34" s="3">
        <v>1.5313413E-2</v>
      </c>
      <c r="N34" s="3">
        <v>1.5338276E-2</v>
      </c>
      <c r="O34" s="3">
        <v>1.5325737000000001E-2</v>
      </c>
      <c r="P34" s="3">
        <v>1.5325640999999999E-2</v>
      </c>
      <c r="Q34" s="3">
        <v>1.5296034E-2</v>
      </c>
      <c r="R34" s="3">
        <v>1.5345457999999999E-2</v>
      </c>
      <c r="S34" s="3">
        <v>1.5182747999999999E-2</v>
      </c>
      <c r="T34" s="3">
        <v>1.5267711999999999E-2</v>
      </c>
    </row>
    <row r="35" spans="1:20" x14ac:dyDescent="0.25">
      <c r="A35" s="4" t="s">
        <v>5</v>
      </c>
      <c r="B35" s="4"/>
      <c r="C35" s="4"/>
      <c r="D35" s="4"/>
      <c r="E35" s="4"/>
      <c r="F35" s="4"/>
      <c r="G35" s="4"/>
      <c r="H35" s="4"/>
      <c r="I35" s="4"/>
      <c r="M35" s="3">
        <v>1.5326503E-2</v>
      </c>
      <c r="N35" s="3">
        <v>1.5348766E-2</v>
      </c>
      <c r="O35" s="3">
        <v>1.5326907000000001E-2</v>
      </c>
      <c r="P35" s="3">
        <v>1.5345444999999999E-2</v>
      </c>
      <c r="Q35" s="3">
        <v>1.5301830000000001E-2</v>
      </c>
      <c r="R35" s="3">
        <v>1.5350822E-2</v>
      </c>
      <c r="S35" s="3">
        <v>1.5191023999999999E-2</v>
      </c>
      <c r="T35" s="3">
        <v>1.5273738E-2</v>
      </c>
    </row>
    <row r="36" spans="1:20" x14ac:dyDescent="0.25">
      <c r="A36" t="s">
        <v>1</v>
      </c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  <c r="M36" s="3">
        <v>1.5392706000000001E-2</v>
      </c>
      <c r="N36" s="3">
        <v>1.5397447999999999E-2</v>
      </c>
      <c r="O36" s="3">
        <v>1.5381127E-2</v>
      </c>
      <c r="P36" s="3">
        <v>1.539577E-2</v>
      </c>
      <c r="Q36" s="3">
        <v>1.5362136E-2</v>
      </c>
      <c r="R36" s="3">
        <v>1.5398012000000001E-2</v>
      </c>
      <c r="S36" s="3">
        <v>1.5310169E-2</v>
      </c>
      <c r="T36" s="3">
        <v>1.5349612E-2</v>
      </c>
    </row>
    <row r="37" spans="1:20" x14ac:dyDescent="0.25">
      <c r="A37">
        <v>50</v>
      </c>
      <c r="B37" s="1">
        <f t="shared" ref="B37:I44" si="12">M17</f>
        <v>1.5375669999999999E-2</v>
      </c>
      <c r="C37" s="1">
        <f t="shared" si="12"/>
        <v>1.5377666E-2</v>
      </c>
      <c r="D37" s="1">
        <f t="shared" si="12"/>
        <v>1.5388990999999999E-2</v>
      </c>
      <c r="E37" s="1">
        <f t="shared" si="12"/>
        <v>1.5366177999999999E-2</v>
      </c>
      <c r="F37" s="1">
        <f t="shared" si="12"/>
        <v>1.5365943999999999E-2</v>
      </c>
      <c r="G37" s="1">
        <f t="shared" si="12"/>
        <v>1.5399579E-2</v>
      </c>
      <c r="H37" s="1">
        <f t="shared" si="12"/>
        <v>1.5290356999999999E-2</v>
      </c>
      <c r="I37" s="1">
        <f t="shared" si="12"/>
        <v>1.534628E-2</v>
      </c>
      <c r="M37" s="3">
        <v>1.5429739E-2</v>
      </c>
      <c r="N37" s="3">
        <v>1.5421574E-2</v>
      </c>
      <c r="O37" s="3">
        <v>1.5421126E-2</v>
      </c>
      <c r="P37" s="3">
        <v>1.5419791E-2</v>
      </c>
      <c r="Q37" s="3">
        <v>1.5398075000000001E-2</v>
      </c>
      <c r="R37" s="3">
        <v>1.5423998E-2</v>
      </c>
      <c r="S37" s="3">
        <v>1.5375206000000001E-2</v>
      </c>
      <c r="T37" s="3">
        <v>1.5397058E-2</v>
      </c>
    </row>
    <row r="38" spans="1:20" x14ac:dyDescent="0.25">
      <c r="A38">
        <v>60</v>
      </c>
      <c r="B38" s="1">
        <f t="shared" si="12"/>
        <v>1.5309168E-2</v>
      </c>
      <c r="C38" s="1">
        <f t="shared" si="12"/>
        <v>1.5330808E-2</v>
      </c>
      <c r="D38" s="1">
        <f t="shared" si="12"/>
        <v>1.5316252000000001E-2</v>
      </c>
      <c r="E38" s="1">
        <f t="shared" si="12"/>
        <v>1.532235E-2</v>
      </c>
      <c r="F38" s="1">
        <f t="shared" si="12"/>
        <v>1.5290758999999999E-2</v>
      </c>
      <c r="G38" s="1">
        <f t="shared" si="12"/>
        <v>1.5338831000000001E-2</v>
      </c>
      <c r="H38" s="1">
        <f t="shared" si="12"/>
        <v>1.517571E-2</v>
      </c>
      <c r="I38" s="1">
        <f t="shared" si="12"/>
        <v>1.5264967000000001E-2</v>
      </c>
      <c r="M38" s="3">
        <v>1.5449902E-2</v>
      </c>
      <c r="N38" s="3">
        <v>1.5437565E-2</v>
      </c>
      <c r="O38" s="3">
        <v>1.5448257E-2</v>
      </c>
      <c r="P38" s="3">
        <v>1.5439754999999999E-2</v>
      </c>
      <c r="Q38" s="3">
        <v>1.5422119E-2</v>
      </c>
      <c r="R38" s="3">
        <v>1.5447664E-2</v>
      </c>
      <c r="S38" s="3">
        <v>1.5410841E-2</v>
      </c>
      <c r="T38" s="3">
        <v>1.5427445E-2</v>
      </c>
    </row>
    <row r="39" spans="1:20" x14ac:dyDescent="0.25">
      <c r="A39">
        <v>70</v>
      </c>
      <c r="B39" s="1">
        <f t="shared" si="12"/>
        <v>1.5318884E-2</v>
      </c>
      <c r="C39" s="1">
        <f t="shared" si="12"/>
        <v>1.5343228E-2</v>
      </c>
      <c r="D39" s="1">
        <f t="shared" si="12"/>
        <v>1.5319531000000001E-2</v>
      </c>
      <c r="E39" s="1">
        <f t="shared" si="12"/>
        <v>1.5340347000000001E-2</v>
      </c>
      <c r="F39" s="1">
        <f t="shared" si="12"/>
        <v>1.5297453000000001E-2</v>
      </c>
      <c r="G39" s="1">
        <f t="shared" si="12"/>
        <v>1.5346501E-2</v>
      </c>
      <c r="H39" s="1">
        <f t="shared" si="12"/>
        <v>1.5188333E-2</v>
      </c>
      <c r="I39" s="1">
        <f t="shared" si="12"/>
        <v>1.5267694E-2</v>
      </c>
      <c r="M39" s="3">
        <v>1.5468647E-2</v>
      </c>
      <c r="N39" s="3">
        <v>1.5454557000000001E-2</v>
      </c>
      <c r="O39" s="3">
        <v>1.5464772E-2</v>
      </c>
      <c r="P39" s="3">
        <v>1.5451281000000001E-2</v>
      </c>
      <c r="Q39" s="3">
        <v>1.5439167E-2</v>
      </c>
      <c r="R39" s="3">
        <v>1.5462383999999999E-2</v>
      </c>
      <c r="S39" s="3">
        <v>1.5435552999999999E-2</v>
      </c>
      <c r="T39" s="3">
        <v>1.5447021999999999E-2</v>
      </c>
    </row>
    <row r="40" spans="1:20" x14ac:dyDescent="0.25">
      <c r="A40">
        <v>100</v>
      </c>
      <c r="B40" s="1">
        <f t="shared" si="12"/>
        <v>1.5390482E-2</v>
      </c>
      <c r="C40" s="1">
        <f t="shared" si="12"/>
        <v>1.5396429999999999E-2</v>
      </c>
      <c r="D40" s="1">
        <f t="shared" si="12"/>
        <v>1.5377711000000001E-2</v>
      </c>
      <c r="E40" s="1">
        <f t="shared" si="12"/>
        <v>1.5394699E-2</v>
      </c>
      <c r="F40" s="1">
        <f t="shared" si="12"/>
        <v>1.536245E-2</v>
      </c>
      <c r="G40" s="1">
        <f t="shared" si="12"/>
        <v>1.5398093E-2</v>
      </c>
      <c r="H40" s="1">
        <f t="shared" si="12"/>
        <v>1.5310285E-2</v>
      </c>
      <c r="I40" s="1">
        <f t="shared" si="12"/>
        <v>1.5347315E-2</v>
      </c>
      <c r="M40" s="3">
        <v>1.5492574E-2</v>
      </c>
      <c r="N40" s="3">
        <v>1.5474836E-2</v>
      </c>
      <c r="O40" s="3">
        <v>1.5491540999999999E-2</v>
      </c>
      <c r="P40" s="3">
        <v>1.5473674999999999E-2</v>
      </c>
      <c r="Q40" s="3">
        <v>1.5459815999999999E-2</v>
      </c>
      <c r="R40" s="3">
        <v>1.5482315E-2</v>
      </c>
      <c r="S40" s="3">
        <v>1.545941E-2</v>
      </c>
      <c r="T40" s="3">
        <v>1.547053E-2</v>
      </c>
    </row>
    <row r="41" spans="1:20" x14ac:dyDescent="0.25">
      <c r="A41">
        <v>140</v>
      </c>
      <c r="B41" s="1">
        <f t="shared" si="12"/>
        <v>1.5428266E-2</v>
      </c>
      <c r="C41" s="1">
        <f t="shared" si="12"/>
        <v>1.5419347E-2</v>
      </c>
      <c r="D41" s="1">
        <f t="shared" si="12"/>
        <v>1.5418766E-2</v>
      </c>
      <c r="E41" s="1">
        <f t="shared" si="12"/>
        <v>1.5418616E-2</v>
      </c>
      <c r="F41" s="1">
        <f t="shared" si="12"/>
        <v>1.539627E-2</v>
      </c>
      <c r="G41" s="1">
        <f t="shared" si="12"/>
        <v>1.5424863E-2</v>
      </c>
      <c r="H41" s="1">
        <f t="shared" si="12"/>
        <v>1.5377003E-2</v>
      </c>
      <c r="I41" s="1">
        <f t="shared" si="12"/>
        <v>1.5394955E-2</v>
      </c>
      <c r="M41" s="3">
        <v>4.5960542E-2</v>
      </c>
      <c r="N41" s="3">
        <v>4.5977580999999997E-2</v>
      </c>
      <c r="O41" s="3">
        <v>4.5643758E-2</v>
      </c>
      <c r="P41" s="3">
        <v>4.6246134000000001E-2</v>
      </c>
      <c r="Q41" s="3">
        <v>4.5710128000000003E-2</v>
      </c>
      <c r="R41" s="3">
        <v>4.5984231E-2</v>
      </c>
      <c r="S41" s="3">
        <v>4.5665773999999999E-2</v>
      </c>
      <c r="T41" s="3">
        <v>4.5674807999999997E-2</v>
      </c>
    </row>
    <row r="42" spans="1:20" x14ac:dyDescent="0.25">
      <c r="A42">
        <v>180</v>
      </c>
      <c r="B42" s="1">
        <f t="shared" si="12"/>
        <v>1.5449371E-2</v>
      </c>
      <c r="C42" s="1">
        <f t="shared" si="12"/>
        <v>1.5436352E-2</v>
      </c>
      <c r="D42" s="1">
        <f t="shared" si="12"/>
        <v>1.5444223E-2</v>
      </c>
      <c r="E42" s="1">
        <f t="shared" si="12"/>
        <v>1.5436355000000001E-2</v>
      </c>
      <c r="F42" s="1">
        <f t="shared" si="12"/>
        <v>1.5419452E-2</v>
      </c>
      <c r="G42" s="1">
        <f t="shared" si="12"/>
        <v>1.5445212999999999E-2</v>
      </c>
      <c r="H42" s="1">
        <f t="shared" si="12"/>
        <v>1.5412172999999999E-2</v>
      </c>
      <c r="I42" s="1">
        <f t="shared" si="12"/>
        <v>1.5425555000000001E-2</v>
      </c>
      <c r="M42" s="3">
        <v>6.5592742999999995E-2</v>
      </c>
      <c r="N42" s="3">
        <v>6.5440811000000002E-2</v>
      </c>
      <c r="O42" s="3">
        <v>6.5263182000000003E-2</v>
      </c>
      <c r="P42" s="3">
        <v>6.5762229000000005E-2</v>
      </c>
      <c r="Q42" s="3">
        <v>6.5361470000000005E-2</v>
      </c>
      <c r="R42" s="3">
        <v>6.5536610999999995E-2</v>
      </c>
      <c r="S42" s="3">
        <v>6.5749921000000003E-2</v>
      </c>
      <c r="T42" s="3">
        <v>6.5409816999999995E-2</v>
      </c>
    </row>
    <row r="43" spans="1:20" x14ac:dyDescent="0.25">
      <c r="A43">
        <v>210</v>
      </c>
      <c r="B43" s="1">
        <f t="shared" si="12"/>
        <v>1.5466885E-2</v>
      </c>
      <c r="C43" s="1">
        <f t="shared" si="12"/>
        <v>1.5450837E-2</v>
      </c>
      <c r="D43" s="1">
        <f t="shared" si="12"/>
        <v>1.5464853000000001E-2</v>
      </c>
      <c r="E43" s="1">
        <f t="shared" si="12"/>
        <v>1.5453527999999999E-2</v>
      </c>
      <c r="F43" s="1">
        <f t="shared" si="12"/>
        <v>1.543607E-2</v>
      </c>
      <c r="G43" s="1">
        <f t="shared" si="12"/>
        <v>1.5463789E-2</v>
      </c>
      <c r="H43" s="1">
        <f t="shared" si="12"/>
        <v>1.5432859E-2</v>
      </c>
      <c r="I43" s="1">
        <f t="shared" si="12"/>
        <v>1.5450679E-2</v>
      </c>
      <c r="M43" s="3">
        <v>7.2610959000000003E-2</v>
      </c>
      <c r="N43" s="3">
        <v>7.2274594999999997E-2</v>
      </c>
      <c r="O43" s="3">
        <v>7.2271787000000004E-2</v>
      </c>
      <c r="P43" s="3">
        <v>7.2546862000000004E-2</v>
      </c>
      <c r="Q43" s="3">
        <v>7.2342478000000002E-2</v>
      </c>
      <c r="R43" s="3">
        <v>7.2500274000000003E-2</v>
      </c>
      <c r="S43" s="3">
        <v>7.2896904999999998E-2</v>
      </c>
      <c r="T43" s="3">
        <v>7.2430580999999994E-2</v>
      </c>
    </row>
    <row r="44" spans="1:20" x14ac:dyDescent="0.25">
      <c r="A44">
        <v>250</v>
      </c>
      <c r="B44" s="1">
        <f t="shared" si="12"/>
        <v>1.5493457E-2</v>
      </c>
      <c r="C44" s="1">
        <f t="shared" si="12"/>
        <v>1.5475907000000001E-2</v>
      </c>
      <c r="D44" s="1">
        <f t="shared" si="12"/>
        <v>1.5485989E-2</v>
      </c>
      <c r="E44" s="1">
        <f t="shared" si="12"/>
        <v>1.5478252E-2</v>
      </c>
      <c r="F44" s="1">
        <f t="shared" si="12"/>
        <v>1.5462424000000001E-2</v>
      </c>
      <c r="G44" s="1">
        <f t="shared" si="12"/>
        <v>1.5485408000000001E-2</v>
      </c>
      <c r="H44" s="1">
        <f t="shared" si="12"/>
        <v>1.5460293E-2</v>
      </c>
      <c r="I44" s="1">
        <f t="shared" si="12"/>
        <v>1.5477258000000001E-2</v>
      </c>
      <c r="M44" s="3">
        <v>7.4945994000000002E-2</v>
      </c>
      <c r="N44" s="3">
        <v>7.4669205000000002E-2</v>
      </c>
      <c r="O44" s="3">
        <v>7.4766494000000003E-2</v>
      </c>
      <c r="P44" s="3">
        <v>7.4819839999999999E-2</v>
      </c>
      <c r="Q44" s="3">
        <v>7.4683114999999994E-2</v>
      </c>
      <c r="R44" s="3">
        <v>7.4932343999999998E-2</v>
      </c>
      <c r="S44" s="3">
        <v>7.4944884000000003E-2</v>
      </c>
      <c r="T44" s="3">
        <v>7.4783987999999996E-2</v>
      </c>
    </row>
    <row r="45" spans="1:20" x14ac:dyDescent="0.25">
      <c r="M45" s="3">
        <v>7.4408165999999998E-2</v>
      </c>
      <c r="N45" s="3">
        <v>7.4323311000000003E-2</v>
      </c>
      <c r="O45" s="3">
        <v>7.4282467000000005E-2</v>
      </c>
      <c r="P45" s="3">
        <v>7.4351132E-2</v>
      </c>
      <c r="Q45" s="3">
        <v>7.4117905999999997E-2</v>
      </c>
      <c r="R45" s="3">
        <v>7.4391946E-2</v>
      </c>
      <c r="S45" s="3">
        <v>7.4059725000000007E-2</v>
      </c>
      <c r="T45" s="3">
        <v>7.4131608000000002E-2</v>
      </c>
    </row>
    <row r="46" spans="1:20" x14ac:dyDescent="0.25">
      <c r="A46" s="4" t="s">
        <v>6</v>
      </c>
      <c r="B46" s="4"/>
      <c r="C46" s="4"/>
      <c r="D46" s="4"/>
      <c r="E46" s="4"/>
      <c r="F46" s="4"/>
      <c r="G46" s="4"/>
      <c r="H46" s="4"/>
      <c r="I46" s="4"/>
      <c r="M46" s="3">
        <v>7.3590039999999995E-2</v>
      </c>
      <c r="N46" s="3">
        <v>7.3822409000000005E-2</v>
      </c>
      <c r="O46" s="3">
        <v>7.3630102000000003E-2</v>
      </c>
      <c r="P46" s="3">
        <v>7.3788062000000001E-2</v>
      </c>
      <c r="Q46" s="3">
        <v>7.3336445E-2</v>
      </c>
      <c r="R46" s="3">
        <v>7.3570370999999996E-2</v>
      </c>
      <c r="S46" s="3">
        <v>7.3163575999999994E-2</v>
      </c>
      <c r="T46" s="3">
        <v>7.3288045999999996E-2</v>
      </c>
    </row>
    <row r="47" spans="1:20" x14ac:dyDescent="0.25">
      <c r="A47" t="s">
        <v>1</v>
      </c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I47">
        <v>8</v>
      </c>
      <c r="M47" s="3">
        <v>7.0452951E-2</v>
      </c>
      <c r="N47" s="3">
        <v>7.1054018999999996E-2</v>
      </c>
      <c r="O47" s="3">
        <v>7.0731550000000004E-2</v>
      </c>
      <c r="P47" s="3">
        <v>7.1036756000000006E-2</v>
      </c>
      <c r="Q47" s="3">
        <v>7.0240363E-2</v>
      </c>
      <c r="R47" s="3">
        <v>7.0420838999999999E-2</v>
      </c>
      <c r="S47" s="3">
        <v>7.0151231999999994E-2</v>
      </c>
      <c r="T47" s="3">
        <v>7.0192254999999995E-2</v>
      </c>
    </row>
    <row r="48" spans="1:20" x14ac:dyDescent="0.25">
      <c r="A48">
        <v>50</v>
      </c>
      <c r="B48" s="1">
        <f t="shared" ref="B48:I55" si="13">M25</f>
        <v>9.1777060000000008E-3</v>
      </c>
      <c r="C48" s="1">
        <f t="shared" si="13"/>
        <v>9.171383E-3</v>
      </c>
      <c r="D48" s="1">
        <f t="shared" si="13"/>
        <v>9.0899499999999994E-3</v>
      </c>
      <c r="E48" s="1">
        <f t="shared" si="13"/>
        <v>9.233069E-3</v>
      </c>
      <c r="F48" s="1">
        <f t="shared" si="13"/>
        <v>9.1374620000000007E-3</v>
      </c>
      <c r="G48" s="1">
        <f t="shared" si="13"/>
        <v>9.1664499999999996E-3</v>
      </c>
      <c r="H48" s="1">
        <f t="shared" si="13"/>
        <v>9.0865879999999996E-3</v>
      </c>
      <c r="I48" s="1">
        <f t="shared" si="13"/>
        <v>9.1434689999999996E-3</v>
      </c>
      <c r="M48" s="3">
        <v>5.7374074999999997E-2</v>
      </c>
      <c r="N48" s="3">
        <v>5.8583143999999997E-2</v>
      </c>
      <c r="O48" s="3">
        <v>5.8242376999999998E-2</v>
      </c>
      <c r="P48" s="3">
        <v>5.8739059000000003E-2</v>
      </c>
      <c r="Q48" s="3">
        <v>5.7329547000000002E-2</v>
      </c>
      <c r="R48" s="3">
        <v>5.7384297000000001E-2</v>
      </c>
      <c r="S48" s="3">
        <v>5.7602301000000002E-2</v>
      </c>
      <c r="T48" s="3">
        <v>5.7346570999999999E-2</v>
      </c>
    </row>
    <row r="49" spans="1:9" x14ac:dyDescent="0.25">
      <c r="A49">
        <v>60</v>
      </c>
      <c r="B49" s="1">
        <f t="shared" si="13"/>
        <v>1.3138046E-2</v>
      </c>
      <c r="C49" s="1">
        <f t="shared" si="13"/>
        <v>1.3071134E-2</v>
      </c>
      <c r="D49" s="1">
        <f t="shared" si="13"/>
        <v>1.3018643999999999E-2</v>
      </c>
      <c r="E49" s="1">
        <f t="shared" si="13"/>
        <v>1.3143881E-2</v>
      </c>
      <c r="F49" s="1">
        <f t="shared" si="13"/>
        <v>1.3078963000000001E-2</v>
      </c>
      <c r="G49" s="1">
        <f t="shared" si="13"/>
        <v>1.3086079E-2</v>
      </c>
      <c r="H49" s="1">
        <f t="shared" si="13"/>
        <v>1.3111291000000001E-2</v>
      </c>
      <c r="I49" s="1">
        <f t="shared" si="13"/>
        <v>1.3109829999999999E-2</v>
      </c>
    </row>
    <row r="50" spans="1:9" x14ac:dyDescent="0.25">
      <c r="A50">
        <v>70</v>
      </c>
      <c r="B50" s="1">
        <f t="shared" si="13"/>
        <v>1.454047E-2</v>
      </c>
      <c r="C50" s="1">
        <f t="shared" si="13"/>
        <v>1.4450714E-2</v>
      </c>
      <c r="D50" s="1">
        <f t="shared" si="13"/>
        <v>1.4421216000000001E-2</v>
      </c>
      <c r="E50" s="1">
        <f t="shared" si="13"/>
        <v>1.4511537E-2</v>
      </c>
      <c r="F50" s="1">
        <f t="shared" si="13"/>
        <v>1.4477686E-2</v>
      </c>
      <c r="G50" s="1">
        <f t="shared" si="13"/>
        <v>1.4489207E-2</v>
      </c>
      <c r="H50" s="1">
        <f t="shared" si="13"/>
        <v>1.4532478E-2</v>
      </c>
      <c r="I50" s="1">
        <f t="shared" si="13"/>
        <v>1.4524854E-2</v>
      </c>
    </row>
    <row r="51" spans="1:9" x14ac:dyDescent="0.25">
      <c r="A51">
        <v>100</v>
      </c>
      <c r="B51" s="1">
        <f t="shared" si="13"/>
        <v>1.5011606E-2</v>
      </c>
      <c r="C51" s="1">
        <f t="shared" si="13"/>
        <v>1.4909253000000001E-2</v>
      </c>
      <c r="D51" s="1">
        <f t="shared" si="13"/>
        <v>1.4900296E-2</v>
      </c>
      <c r="E51" s="1">
        <f t="shared" si="13"/>
        <v>1.4952145999999999E-2</v>
      </c>
      <c r="F51" s="1">
        <f t="shared" si="13"/>
        <v>1.4922763E-2</v>
      </c>
      <c r="G51" s="1">
        <f t="shared" si="13"/>
        <v>1.4968993E-2</v>
      </c>
      <c r="H51" s="1">
        <f t="shared" si="13"/>
        <v>1.4927147999999999E-2</v>
      </c>
      <c r="I51" s="1">
        <f t="shared" si="13"/>
        <v>1.4981971E-2</v>
      </c>
    </row>
    <row r="52" spans="1:9" x14ac:dyDescent="0.25">
      <c r="A52">
        <v>140</v>
      </c>
      <c r="B52" s="1">
        <f t="shared" si="13"/>
        <v>1.4851836E-2</v>
      </c>
      <c r="C52" s="1">
        <f t="shared" si="13"/>
        <v>1.4793120999999999E-2</v>
      </c>
      <c r="D52" s="1">
        <f t="shared" si="13"/>
        <v>1.4760192E-2</v>
      </c>
      <c r="E52" s="1">
        <f t="shared" si="13"/>
        <v>1.4817568E-2</v>
      </c>
      <c r="F52" s="1">
        <f t="shared" si="13"/>
        <v>1.4763116E-2</v>
      </c>
      <c r="G52" s="1">
        <f t="shared" si="13"/>
        <v>1.4817163E-2</v>
      </c>
      <c r="H52" s="1">
        <f t="shared" si="13"/>
        <v>1.4719731E-2</v>
      </c>
      <c r="I52" s="1">
        <f t="shared" si="13"/>
        <v>1.4800363E-2</v>
      </c>
    </row>
    <row r="53" spans="1:9" x14ac:dyDescent="0.25">
      <c r="A53">
        <v>180</v>
      </c>
      <c r="B53" s="1">
        <f t="shared" si="13"/>
        <v>1.4627967E-2</v>
      </c>
      <c r="C53" s="1">
        <f t="shared" si="13"/>
        <v>1.4622161E-2</v>
      </c>
      <c r="D53" s="1">
        <f t="shared" si="13"/>
        <v>1.4561447999999999E-2</v>
      </c>
      <c r="E53" s="1">
        <f t="shared" si="13"/>
        <v>1.4641372E-2</v>
      </c>
      <c r="F53" s="1">
        <f t="shared" si="13"/>
        <v>1.4519815E-2</v>
      </c>
      <c r="G53" s="1">
        <f t="shared" si="13"/>
        <v>1.4588353E-2</v>
      </c>
      <c r="H53" s="1">
        <f t="shared" si="13"/>
        <v>1.448259E-2</v>
      </c>
      <c r="I53" s="1">
        <f t="shared" si="13"/>
        <v>1.4555444000000001E-2</v>
      </c>
    </row>
    <row r="54" spans="1:9" x14ac:dyDescent="0.25">
      <c r="A54">
        <v>210</v>
      </c>
      <c r="B54" s="1">
        <f t="shared" si="13"/>
        <v>1.3947795000000001E-2</v>
      </c>
      <c r="C54" s="1">
        <f t="shared" si="13"/>
        <v>1.4004518000000001E-2</v>
      </c>
      <c r="D54" s="1">
        <f t="shared" si="13"/>
        <v>1.3934732999999999E-2</v>
      </c>
      <c r="E54" s="1">
        <f t="shared" si="13"/>
        <v>1.4033811E-2</v>
      </c>
      <c r="F54" s="1">
        <f t="shared" si="13"/>
        <v>1.38382E-2</v>
      </c>
      <c r="G54" s="1">
        <f t="shared" si="13"/>
        <v>1.3909871000000001E-2</v>
      </c>
      <c r="H54" s="1">
        <f t="shared" si="13"/>
        <v>1.3834123E-2</v>
      </c>
      <c r="I54" s="1">
        <f t="shared" si="13"/>
        <v>1.387715E-2</v>
      </c>
    </row>
    <row r="55" spans="1:9" x14ac:dyDescent="0.25">
      <c r="A55">
        <v>250</v>
      </c>
      <c r="B55" s="1">
        <f t="shared" si="13"/>
        <v>1.1283257999999999E-2</v>
      </c>
      <c r="C55" s="1">
        <f t="shared" si="13"/>
        <v>1.1460112E-2</v>
      </c>
      <c r="D55" s="1">
        <f t="shared" si="13"/>
        <v>1.1402773E-2</v>
      </c>
      <c r="E55" s="1">
        <f t="shared" si="13"/>
        <v>1.1532779999999999E-2</v>
      </c>
      <c r="F55" s="1">
        <f t="shared" si="13"/>
        <v>1.1205911000000001E-2</v>
      </c>
      <c r="G55" s="1">
        <f t="shared" si="13"/>
        <v>1.1256657999999999E-2</v>
      </c>
      <c r="H55" s="1">
        <f t="shared" si="13"/>
        <v>1.1291907E-2</v>
      </c>
      <c r="I55" s="1">
        <f t="shared" si="13"/>
        <v>1.1257814E-2</v>
      </c>
    </row>
    <row r="57" spans="1:9" x14ac:dyDescent="0.25">
      <c r="A57" s="5" t="s">
        <v>7</v>
      </c>
      <c r="B57" s="5"/>
      <c r="C57" s="5"/>
      <c r="D57" s="5"/>
      <c r="E57" s="5"/>
      <c r="F57" s="5"/>
      <c r="G57" s="5"/>
      <c r="H57" s="5"/>
      <c r="I57" s="5"/>
    </row>
    <row r="58" spans="1:9" x14ac:dyDescent="0.25">
      <c r="A58" t="s">
        <v>0</v>
      </c>
      <c r="B58">
        <v>1</v>
      </c>
      <c r="C58">
        <v>2</v>
      </c>
      <c r="D58">
        <v>3</v>
      </c>
      <c r="E58">
        <v>4</v>
      </c>
      <c r="F58">
        <v>5</v>
      </c>
      <c r="G58">
        <v>6</v>
      </c>
      <c r="H58">
        <v>7</v>
      </c>
      <c r="I58">
        <v>8</v>
      </c>
    </row>
    <row r="59" spans="1:9" x14ac:dyDescent="0.25">
      <c r="A59">
        <v>50</v>
      </c>
      <c r="B59" s="2">
        <f>20*LOG(((B48)*B$40)/(B37*(B$51)), 10)</f>
        <v>-4.2654968799696338</v>
      </c>
      <c r="C59" s="2">
        <f t="shared" ref="C59:I59" si="14">20*LOG(((C48)*C$40)/(C37*(C$51)), 10)</f>
        <v>-4.2098289290829154</v>
      </c>
      <c r="D59" s="2">
        <f t="shared" si="14"/>
        <v>-4.2990370493015977</v>
      </c>
      <c r="E59" s="2">
        <f t="shared" si="14"/>
        <v>-4.1710421143814145</v>
      </c>
      <c r="F59" s="2">
        <f t="shared" si="14"/>
        <v>-4.2624484300838459</v>
      </c>
      <c r="G59" s="2">
        <f t="shared" si="14"/>
        <v>-4.2606664242852208</v>
      </c>
      <c r="H59" s="2">
        <f t="shared" si="14"/>
        <v>-4.300207043987271</v>
      </c>
      <c r="I59" s="2">
        <f t="shared" si="14"/>
        <v>-4.2885733226482001</v>
      </c>
    </row>
    <row r="60" spans="1:9" x14ac:dyDescent="0.25">
      <c r="A60">
        <v>60</v>
      </c>
      <c r="B60" s="2">
        <f t="shared" ref="B60:I60" si="15">20*LOG(((B49)*B$40)/(B38*(B$51)), 10)</f>
        <v>-1.1119149352399647</v>
      </c>
      <c r="C60" s="2">
        <f t="shared" si="15"/>
        <v>-1.105752609042755</v>
      </c>
      <c r="D60" s="2">
        <f t="shared" si="15"/>
        <v>-1.1377990636925017</v>
      </c>
      <c r="E60" s="2">
        <f t="shared" si="15"/>
        <v>-1.0786817421153898</v>
      </c>
      <c r="F60" s="2">
        <f t="shared" si="15"/>
        <v>-1.1048898295484253</v>
      </c>
      <c r="G60" s="2">
        <f t="shared" si="15"/>
        <v>-1.1341674341296986</v>
      </c>
      <c r="H60" s="2">
        <f t="shared" si="15"/>
        <v>-1.0499425195161873</v>
      </c>
      <c r="I60" s="2">
        <f t="shared" si="15"/>
        <v>-1.1127070958342009</v>
      </c>
    </row>
    <row r="61" spans="1:9" x14ac:dyDescent="0.25">
      <c r="A61">
        <v>70</v>
      </c>
      <c r="B61" s="2">
        <f t="shared" ref="B61:I61" si="16">20*LOG(((B50)*B$40)/(B39*(B$51)), 10)</f>
        <v>-0.23647237571139026</v>
      </c>
      <c r="C61" s="2">
        <f t="shared" si="16"/>
        <v>-0.24126571118478349</v>
      </c>
      <c r="D61" s="2">
        <f t="shared" si="16"/>
        <v>-0.25093578433764785</v>
      </c>
      <c r="E61" s="2">
        <f t="shared" si="16"/>
        <v>-0.22908194301156495</v>
      </c>
      <c r="F61" s="2">
        <f t="shared" si="16"/>
        <v>-0.22617467266786442</v>
      </c>
      <c r="G61" s="2">
        <f t="shared" si="16"/>
        <v>-0.25380803980157118</v>
      </c>
      <c r="H61" s="2">
        <f t="shared" si="16"/>
        <v>-0.16327999679422434</v>
      </c>
      <c r="I61" s="2">
        <f t="shared" si="16"/>
        <v>-0.22396433028092649</v>
      </c>
    </row>
    <row r="62" spans="1:9" x14ac:dyDescent="0.25">
      <c r="A62">
        <v>100</v>
      </c>
      <c r="B62" s="2">
        <f t="shared" ref="B62:I62" si="17">20*LOG(((B51)*B$40)/(B40*(B$51)), 10)</f>
        <v>0</v>
      </c>
      <c r="C62" s="2">
        <f t="shared" si="17"/>
        <v>0</v>
      </c>
      <c r="D62" s="2">
        <f t="shared" si="17"/>
        <v>0</v>
      </c>
      <c r="E62" s="2">
        <f t="shared" si="17"/>
        <v>0</v>
      </c>
      <c r="F62" s="2">
        <f t="shared" si="17"/>
        <v>0</v>
      </c>
      <c r="G62" s="2">
        <f t="shared" si="17"/>
        <v>0</v>
      </c>
      <c r="H62" s="2">
        <f t="shared" si="17"/>
        <v>0</v>
      </c>
      <c r="I62" s="2">
        <f t="shared" si="17"/>
        <v>0</v>
      </c>
    </row>
    <row r="63" spans="1:9" x14ac:dyDescent="0.25">
      <c r="A63">
        <v>140</v>
      </c>
      <c r="B63" s="2">
        <f t="shared" ref="B63:I63" si="18">20*LOG(((B52)*B$40)/(B41*(B$51)), 10)</f>
        <v>-0.11423817956787033</v>
      </c>
      <c r="C63" s="2">
        <f t="shared" si="18"/>
        <v>-8.0840502263680572E-2</v>
      </c>
      <c r="D63" s="2">
        <f t="shared" si="18"/>
        <v>-0.10521623704753053</v>
      </c>
      <c r="E63" s="2">
        <f t="shared" si="18"/>
        <v>-9.2015813337581354E-2</v>
      </c>
      <c r="F63" s="2">
        <f t="shared" si="18"/>
        <v>-0.11252491312416757</v>
      </c>
      <c r="G63" s="2">
        <f t="shared" si="18"/>
        <v>-0.10363807857629201</v>
      </c>
      <c r="H63" s="2">
        <f t="shared" si="18"/>
        <v>-0.1593077862742352</v>
      </c>
      <c r="I63" s="2">
        <f t="shared" si="18"/>
        <v>-0.13285203310628235</v>
      </c>
    </row>
    <row r="64" spans="1:9" x14ac:dyDescent="0.25">
      <c r="A64">
        <v>180</v>
      </c>
      <c r="B64" s="2">
        <f t="shared" ref="B64:I64" si="19">20*LOG(((B53)*B$40)/(B42*(B$51)), 10)</f>
        <v>-0.25803532867222251</v>
      </c>
      <c r="C64" s="2">
        <f t="shared" si="19"/>
        <v>-0.19137929152437383</v>
      </c>
      <c r="D64" s="2">
        <f t="shared" si="19"/>
        <v>-0.23729402614241527</v>
      </c>
      <c r="E64" s="2">
        <f t="shared" si="19"/>
        <v>-0.20590619632505355</v>
      </c>
      <c r="F64" s="2">
        <f t="shared" si="19"/>
        <v>-0.26993231353223779</v>
      </c>
      <c r="G64" s="2">
        <f t="shared" si="19"/>
        <v>-0.25026570636793816</v>
      </c>
      <c r="H64" s="2">
        <f t="shared" si="19"/>
        <v>-0.32022405779744989</v>
      </c>
      <c r="I64" s="2">
        <f t="shared" si="19"/>
        <v>-0.29503771900938008</v>
      </c>
    </row>
    <row r="65" spans="1:9" x14ac:dyDescent="0.25">
      <c r="A65">
        <v>210</v>
      </c>
      <c r="B65" s="2">
        <f t="shared" ref="B65:I65" si="20">20*LOG(((B54)*B$40)/(B43*(B$51)), 10)</f>
        <v>-0.68144473517418902</v>
      </c>
      <c r="C65" s="2">
        <f t="shared" si="20"/>
        <v>-0.57439395007896776</v>
      </c>
      <c r="D65" s="2">
        <f t="shared" si="20"/>
        <v>-0.63100691296028044</v>
      </c>
      <c r="E65" s="2">
        <f t="shared" si="20"/>
        <v>-0.58368694257675002</v>
      </c>
      <c r="F65" s="2">
        <f t="shared" si="20"/>
        <v>-0.69691791130587344</v>
      </c>
      <c r="G65" s="2">
        <f t="shared" si="20"/>
        <v>-0.67436919646040028</v>
      </c>
      <c r="H65" s="2">
        <f t="shared" si="20"/>
        <v>-0.72976638587884768</v>
      </c>
      <c r="I65" s="2">
        <f t="shared" si="20"/>
        <v>-0.72367664473947479</v>
      </c>
    </row>
    <row r="66" spans="1:9" x14ac:dyDescent="0.25">
      <c r="A66">
        <v>250</v>
      </c>
      <c r="B66" s="2">
        <f t="shared" ref="B66:I66" si="21">20*LOG(((B55)*B$40)/(B44*(B$51)), 10)</f>
        <v>-2.5377749675011021</v>
      </c>
      <c r="C66" s="2">
        <f t="shared" si="21"/>
        <v>-2.3300620378644945</v>
      </c>
      <c r="D66" s="2">
        <f t="shared" si="21"/>
        <v>-2.3846333776682389</v>
      </c>
      <c r="E66" s="2">
        <f t="shared" si="21"/>
        <v>-2.3024046549445085</v>
      </c>
      <c r="F66" s="2">
        <f t="shared" si="21"/>
        <v>-2.5443833683513462</v>
      </c>
      <c r="G66" s="2">
        <f t="shared" si="21"/>
        <v>-2.5247765560818278</v>
      </c>
      <c r="H66" s="2">
        <f t="shared" si="21"/>
        <v>-2.508879826380837</v>
      </c>
      <c r="I66" s="2">
        <f t="shared" si="21"/>
        <v>-2.5555299646883531</v>
      </c>
    </row>
    <row r="68" spans="1:9" x14ac:dyDescent="0.25">
      <c r="A68" s="4" t="s">
        <v>8</v>
      </c>
      <c r="B68" s="4"/>
      <c r="C68" s="4"/>
      <c r="D68" s="4"/>
      <c r="E68" s="4"/>
      <c r="F68" s="4"/>
      <c r="G68" s="4"/>
      <c r="H68" s="4"/>
      <c r="I68" s="4"/>
    </row>
    <row r="69" spans="1:9" x14ac:dyDescent="0.25">
      <c r="A69" t="s">
        <v>1</v>
      </c>
      <c r="B69">
        <v>1</v>
      </c>
      <c r="C69">
        <v>2</v>
      </c>
      <c r="D69">
        <v>3</v>
      </c>
      <c r="E69">
        <v>4</v>
      </c>
      <c r="F69">
        <v>5</v>
      </c>
      <c r="G69">
        <v>6</v>
      </c>
      <c r="H69">
        <v>7</v>
      </c>
      <c r="I69">
        <v>8</v>
      </c>
    </row>
    <row r="70" spans="1:9" x14ac:dyDescent="0.25">
      <c r="A70">
        <v>50</v>
      </c>
      <c r="B70" s="1">
        <f>M33</f>
        <v>1.5380922E-2</v>
      </c>
      <c r="C70" s="1">
        <f t="shared" ref="C70:I70" si="22">N33</f>
        <v>1.5383163E-2</v>
      </c>
      <c r="D70" s="1">
        <f t="shared" si="22"/>
        <v>1.539715E-2</v>
      </c>
      <c r="E70" s="1">
        <f t="shared" si="22"/>
        <v>1.5370943999999999E-2</v>
      </c>
      <c r="F70" s="1">
        <f t="shared" si="22"/>
        <v>1.5370253E-2</v>
      </c>
      <c r="G70" s="1">
        <f t="shared" si="22"/>
        <v>1.5403902000000001E-2</v>
      </c>
      <c r="H70" s="1">
        <f t="shared" si="22"/>
        <v>1.5296475E-2</v>
      </c>
      <c r="I70" s="1">
        <f t="shared" si="22"/>
        <v>1.5350206999999999E-2</v>
      </c>
    </row>
    <row r="71" spans="1:9" x14ac:dyDescent="0.25">
      <c r="A71">
        <v>60</v>
      </c>
      <c r="B71" s="1">
        <f t="shared" ref="B71:B77" si="23">M34</f>
        <v>1.5313413E-2</v>
      </c>
      <c r="C71" s="1">
        <f t="shared" ref="C71:C77" si="24">N34</f>
        <v>1.5338276E-2</v>
      </c>
      <c r="D71" s="1">
        <f t="shared" ref="D71:D77" si="25">O34</f>
        <v>1.5325737000000001E-2</v>
      </c>
      <c r="E71" s="1">
        <f t="shared" ref="E71:E77" si="26">P34</f>
        <v>1.5325640999999999E-2</v>
      </c>
      <c r="F71" s="1">
        <f t="shared" ref="F71:F77" si="27">Q34</f>
        <v>1.5296034E-2</v>
      </c>
      <c r="G71" s="1">
        <f t="shared" ref="G71:G77" si="28">R34</f>
        <v>1.5345457999999999E-2</v>
      </c>
      <c r="H71" s="1">
        <f t="shared" ref="H71:H77" si="29">S34</f>
        <v>1.5182747999999999E-2</v>
      </c>
      <c r="I71" s="1">
        <f t="shared" ref="I71:I77" si="30">T34</f>
        <v>1.5267711999999999E-2</v>
      </c>
    </row>
    <row r="72" spans="1:9" x14ac:dyDescent="0.25">
      <c r="A72">
        <v>70</v>
      </c>
      <c r="B72" s="1">
        <f t="shared" si="23"/>
        <v>1.5326503E-2</v>
      </c>
      <c r="C72" s="1">
        <f t="shared" si="24"/>
        <v>1.5348766E-2</v>
      </c>
      <c r="D72" s="1">
        <f t="shared" si="25"/>
        <v>1.5326907000000001E-2</v>
      </c>
      <c r="E72" s="1">
        <f t="shared" si="26"/>
        <v>1.5345444999999999E-2</v>
      </c>
      <c r="F72" s="1">
        <f t="shared" si="27"/>
        <v>1.5301830000000001E-2</v>
      </c>
      <c r="G72" s="1">
        <f t="shared" si="28"/>
        <v>1.5350822E-2</v>
      </c>
      <c r="H72" s="1">
        <f t="shared" si="29"/>
        <v>1.5191023999999999E-2</v>
      </c>
      <c r="I72" s="1">
        <f t="shared" si="30"/>
        <v>1.5273738E-2</v>
      </c>
    </row>
    <row r="73" spans="1:9" x14ac:dyDescent="0.25">
      <c r="A73">
        <v>100</v>
      </c>
      <c r="B73" s="1">
        <f t="shared" si="23"/>
        <v>1.5392706000000001E-2</v>
      </c>
      <c r="C73" s="1">
        <f t="shared" si="24"/>
        <v>1.5397447999999999E-2</v>
      </c>
      <c r="D73" s="1">
        <f t="shared" si="25"/>
        <v>1.5381127E-2</v>
      </c>
      <c r="E73" s="1">
        <f t="shared" si="26"/>
        <v>1.539577E-2</v>
      </c>
      <c r="F73" s="1">
        <f t="shared" si="27"/>
        <v>1.5362136E-2</v>
      </c>
      <c r="G73" s="1">
        <f t="shared" si="28"/>
        <v>1.5398012000000001E-2</v>
      </c>
      <c r="H73" s="1">
        <f t="shared" si="29"/>
        <v>1.5310169E-2</v>
      </c>
      <c r="I73" s="1">
        <f t="shared" si="30"/>
        <v>1.5349612E-2</v>
      </c>
    </row>
    <row r="74" spans="1:9" x14ac:dyDescent="0.25">
      <c r="A74">
        <v>140</v>
      </c>
      <c r="B74" s="1">
        <f t="shared" si="23"/>
        <v>1.5429739E-2</v>
      </c>
      <c r="C74" s="1">
        <f t="shared" si="24"/>
        <v>1.5421574E-2</v>
      </c>
      <c r="D74" s="1">
        <f t="shared" si="25"/>
        <v>1.5421126E-2</v>
      </c>
      <c r="E74" s="1">
        <f t="shared" si="26"/>
        <v>1.5419791E-2</v>
      </c>
      <c r="F74" s="1">
        <f t="shared" si="27"/>
        <v>1.5398075000000001E-2</v>
      </c>
      <c r="G74" s="1">
        <f t="shared" si="28"/>
        <v>1.5423998E-2</v>
      </c>
      <c r="H74" s="1">
        <f t="shared" si="29"/>
        <v>1.5375206000000001E-2</v>
      </c>
      <c r="I74" s="1">
        <f t="shared" si="30"/>
        <v>1.5397058E-2</v>
      </c>
    </row>
    <row r="75" spans="1:9" x14ac:dyDescent="0.25">
      <c r="A75">
        <v>180</v>
      </c>
      <c r="B75" s="1">
        <f t="shared" si="23"/>
        <v>1.5449902E-2</v>
      </c>
      <c r="C75" s="1">
        <f t="shared" si="24"/>
        <v>1.5437565E-2</v>
      </c>
      <c r="D75" s="1">
        <f t="shared" si="25"/>
        <v>1.5448257E-2</v>
      </c>
      <c r="E75" s="1">
        <f t="shared" si="26"/>
        <v>1.5439754999999999E-2</v>
      </c>
      <c r="F75" s="1">
        <f t="shared" si="27"/>
        <v>1.5422119E-2</v>
      </c>
      <c r="G75" s="1">
        <f t="shared" si="28"/>
        <v>1.5447664E-2</v>
      </c>
      <c r="H75" s="1">
        <f t="shared" si="29"/>
        <v>1.5410841E-2</v>
      </c>
      <c r="I75" s="1">
        <f t="shared" si="30"/>
        <v>1.5427445E-2</v>
      </c>
    </row>
    <row r="76" spans="1:9" x14ac:dyDescent="0.25">
      <c r="A76">
        <v>210</v>
      </c>
      <c r="B76" s="1">
        <f t="shared" si="23"/>
        <v>1.5468647E-2</v>
      </c>
      <c r="C76" s="1">
        <f t="shared" si="24"/>
        <v>1.5454557000000001E-2</v>
      </c>
      <c r="D76" s="1">
        <f t="shared" si="25"/>
        <v>1.5464772E-2</v>
      </c>
      <c r="E76" s="1">
        <f t="shared" si="26"/>
        <v>1.5451281000000001E-2</v>
      </c>
      <c r="F76" s="1">
        <f t="shared" si="27"/>
        <v>1.5439167E-2</v>
      </c>
      <c r="G76" s="1">
        <f t="shared" si="28"/>
        <v>1.5462383999999999E-2</v>
      </c>
      <c r="H76" s="1">
        <f t="shared" si="29"/>
        <v>1.5435552999999999E-2</v>
      </c>
      <c r="I76" s="1">
        <f t="shared" si="30"/>
        <v>1.5447021999999999E-2</v>
      </c>
    </row>
    <row r="77" spans="1:9" x14ac:dyDescent="0.25">
      <c r="A77">
        <v>250</v>
      </c>
      <c r="B77" s="1">
        <f t="shared" si="23"/>
        <v>1.5492574E-2</v>
      </c>
      <c r="C77" s="1">
        <f t="shared" si="24"/>
        <v>1.5474836E-2</v>
      </c>
      <c r="D77" s="1">
        <f t="shared" si="25"/>
        <v>1.5491540999999999E-2</v>
      </c>
      <c r="E77" s="1">
        <f t="shared" si="26"/>
        <v>1.5473674999999999E-2</v>
      </c>
      <c r="F77" s="1">
        <f t="shared" si="27"/>
        <v>1.5459815999999999E-2</v>
      </c>
      <c r="G77" s="1">
        <f t="shared" si="28"/>
        <v>1.5482315E-2</v>
      </c>
      <c r="H77" s="1">
        <f t="shared" si="29"/>
        <v>1.545941E-2</v>
      </c>
      <c r="I77" s="1">
        <f t="shared" si="30"/>
        <v>1.547053E-2</v>
      </c>
    </row>
    <row r="79" spans="1:9" x14ac:dyDescent="0.25">
      <c r="A79" s="4" t="s">
        <v>9</v>
      </c>
      <c r="B79" s="4"/>
      <c r="C79" s="4"/>
      <c r="D79" s="4"/>
      <c r="E79" s="4"/>
      <c r="F79" s="4"/>
      <c r="G79" s="4"/>
      <c r="H79" s="4"/>
      <c r="I79" s="4"/>
    </row>
    <row r="80" spans="1:9" x14ac:dyDescent="0.25">
      <c r="A80" t="s">
        <v>1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</row>
    <row r="81" spans="1:9" x14ac:dyDescent="0.25">
      <c r="A81">
        <v>50</v>
      </c>
      <c r="B81" s="1">
        <f>M41</f>
        <v>4.5960542E-2</v>
      </c>
      <c r="C81" s="1">
        <f t="shared" ref="C81:I81" si="31">N41</f>
        <v>4.5977580999999997E-2</v>
      </c>
      <c r="D81" s="1">
        <f t="shared" si="31"/>
        <v>4.5643758E-2</v>
      </c>
      <c r="E81" s="1">
        <f t="shared" si="31"/>
        <v>4.6246134000000001E-2</v>
      </c>
      <c r="F81" s="1">
        <f t="shared" si="31"/>
        <v>4.5710128000000003E-2</v>
      </c>
      <c r="G81" s="1">
        <f t="shared" si="31"/>
        <v>4.5984231E-2</v>
      </c>
      <c r="H81" s="1">
        <f t="shared" si="31"/>
        <v>4.5665773999999999E-2</v>
      </c>
      <c r="I81" s="1">
        <f t="shared" si="31"/>
        <v>4.5674807999999997E-2</v>
      </c>
    </row>
    <row r="82" spans="1:9" x14ac:dyDescent="0.25">
      <c r="A82">
        <v>60</v>
      </c>
      <c r="B82" s="1">
        <f t="shared" ref="B82:B88" si="32">M42</f>
        <v>6.5592742999999995E-2</v>
      </c>
      <c r="C82" s="1">
        <f t="shared" ref="C82:C88" si="33">N42</f>
        <v>6.5440811000000002E-2</v>
      </c>
      <c r="D82" s="1">
        <f t="shared" ref="D82:D88" si="34">O42</f>
        <v>6.5263182000000003E-2</v>
      </c>
      <c r="E82" s="1">
        <f t="shared" ref="E82:E88" si="35">P42</f>
        <v>6.5762229000000005E-2</v>
      </c>
      <c r="F82" s="1">
        <f t="shared" ref="F82:F88" si="36">Q42</f>
        <v>6.5361470000000005E-2</v>
      </c>
      <c r="G82" s="1">
        <f t="shared" ref="G82:G88" si="37">R42</f>
        <v>6.5536610999999995E-2</v>
      </c>
      <c r="H82" s="1">
        <f t="shared" ref="H82:H88" si="38">S42</f>
        <v>6.5749921000000003E-2</v>
      </c>
      <c r="I82" s="1">
        <f t="shared" ref="I82:I88" si="39">T42</f>
        <v>6.5409816999999995E-2</v>
      </c>
    </row>
    <row r="83" spans="1:9" x14ac:dyDescent="0.25">
      <c r="A83">
        <v>70</v>
      </c>
      <c r="B83" s="1">
        <f t="shared" si="32"/>
        <v>7.2610959000000003E-2</v>
      </c>
      <c r="C83" s="1">
        <f t="shared" si="33"/>
        <v>7.2274594999999997E-2</v>
      </c>
      <c r="D83" s="1">
        <f t="shared" si="34"/>
        <v>7.2271787000000004E-2</v>
      </c>
      <c r="E83" s="1">
        <f t="shared" si="35"/>
        <v>7.2546862000000004E-2</v>
      </c>
      <c r="F83" s="1">
        <f t="shared" si="36"/>
        <v>7.2342478000000002E-2</v>
      </c>
      <c r="G83" s="1">
        <f t="shared" si="37"/>
        <v>7.2500274000000003E-2</v>
      </c>
      <c r="H83" s="1">
        <f t="shared" si="38"/>
        <v>7.2896904999999998E-2</v>
      </c>
      <c r="I83" s="1">
        <f t="shared" si="39"/>
        <v>7.2430580999999994E-2</v>
      </c>
    </row>
    <row r="84" spans="1:9" x14ac:dyDescent="0.25">
      <c r="A84">
        <v>100</v>
      </c>
      <c r="B84" s="1">
        <f t="shared" si="32"/>
        <v>7.4945994000000002E-2</v>
      </c>
      <c r="C84" s="1">
        <f t="shared" si="33"/>
        <v>7.4669205000000002E-2</v>
      </c>
      <c r="D84" s="1">
        <f t="shared" si="34"/>
        <v>7.4766494000000003E-2</v>
      </c>
      <c r="E84" s="1">
        <f t="shared" si="35"/>
        <v>7.4819839999999999E-2</v>
      </c>
      <c r="F84" s="1">
        <f t="shared" si="36"/>
        <v>7.4683114999999994E-2</v>
      </c>
      <c r="G84" s="1">
        <f t="shared" si="37"/>
        <v>7.4932343999999998E-2</v>
      </c>
      <c r="H84" s="1">
        <f t="shared" si="38"/>
        <v>7.4944884000000003E-2</v>
      </c>
      <c r="I84" s="1">
        <f t="shared" si="39"/>
        <v>7.4783987999999996E-2</v>
      </c>
    </row>
    <row r="85" spans="1:9" x14ac:dyDescent="0.25">
      <c r="A85">
        <v>140</v>
      </c>
      <c r="B85" s="1">
        <f t="shared" si="32"/>
        <v>7.4408165999999998E-2</v>
      </c>
      <c r="C85" s="1">
        <f t="shared" si="33"/>
        <v>7.4323311000000003E-2</v>
      </c>
      <c r="D85" s="1">
        <f t="shared" si="34"/>
        <v>7.4282467000000005E-2</v>
      </c>
      <c r="E85" s="1">
        <f t="shared" si="35"/>
        <v>7.4351132E-2</v>
      </c>
      <c r="F85" s="1">
        <f t="shared" si="36"/>
        <v>7.4117905999999997E-2</v>
      </c>
      <c r="G85" s="1">
        <f t="shared" si="37"/>
        <v>7.4391946E-2</v>
      </c>
      <c r="H85" s="1">
        <f t="shared" si="38"/>
        <v>7.4059725000000007E-2</v>
      </c>
      <c r="I85" s="1">
        <f t="shared" si="39"/>
        <v>7.4131608000000002E-2</v>
      </c>
    </row>
    <row r="86" spans="1:9" x14ac:dyDescent="0.25">
      <c r="A86">
        <v>180</v>
      </c>
      <c r="B86" s="1">
        <f t="shared" si="32"/>
        <v>7.3590039999999995E-2</v>
      </c>
      <c r="C86" s="1">
        <f t="shared" si="33"/>
        <v>7.3822409000000005E-2</v>
      </c>
      <c r="D86" s="1">
        <f t="shared" si="34"/>
        <v>7.3630102000000003E-2</v>
      </c>
      <c r="E86" s="1">
        <f t="shared" si="35"/>
        <v>7.3788062000000001E-2</v>
      </c>
      <c r="F86" s="1">
        <f t="shared" si="36"/>
        <v>7.3336445E-2</v>
      </c>
      <c r="G86" s="1">
        <f t="shared" si="37"/>
        <v>7.3570370999999996E-2</v>
      </c>
      <c r="H86" s="1">
        <f t="shared" si="38"/>
        <v>7.3163575999999994E-2</v>
      </c>
      <c r="I86" s="1">
        <f t="shared" si="39"/>
        <v>7.3288045999999996E-2</v>
      </c>
    </row>
    <row r="87" spans="1:9" x14ac:dyDescent="0.25">
      <c r="A87">
        <v>210</v>
      </c>
      <c r="B87" s="1">
        <f t="shared" si="32"/>
        <v>7.0452951E-2</v>
      </c>
      <c r="C87" s="1">
        <f t="shared" si="33"/>
        <v>7.1054018999999996E-2</v>
      </c>
      <c r="D87" s="1">
        <f t="shared" si="34"/>
        <v>7.0731550000000004E-2</v>
      </c>
      <c r="E87" s="1">
        <f t="shared" si="35"/>
        <v>7.1036756000000006E-2</v>
      </c>
      <c r="F87" s="1">
        <f t="shared" si="36"/>
        <v>7.0240363E-2</v>
      </c>
      <c r="G87" s="1">
        <f t="shared" si="37"/>
        <v>7.0420838999999999E-2</v>
      </c>
      <c r="H87" s="1">
        <f t="shared" si="38"/>
        <v>7.0151231999999994E-2</v>
      </c>
      <c r="I87" s="1">
        <f t="shared" si="39"/>
        <v>7.0192254999999995E-2</v>
      </c>
    </row>
    <row r="88" spans="1:9" x14ac:dyDescent="0.25">
      <c r="A88">
        <v>250</v>
      </c>
      <c r="B88" s="1">
        <f t="shared" si="32"/>
        <v>5.7374074999999997E-2</v>
      </c>
      <c r="C88" s="1">
        <f t="shared" si="33"/>
        <v>5.8583143999999997E-2</v>
      </c>
      <c r="D88" s="1">
        <f t="shared" si="34"/>
        <v>5.8242376999999998E-2</v>
      </c>
      <c r="E88" s="1">
        <f t="shared" si="35"/>
        <v>5.8739059000000003E-2</v>
      </c>
      <c r="F88" s="1">
        <f t="shared" si="36"/>
        <v>5.7329547000000002E-2</v>
      </c>
      <c r="G88" s="1">
        <f t="shared" si="37"/>
        <v>5.7384297000000001E-2</v>
      </c>
      <c r="H88" s="1">
        <f t="shared" si="38"/>
        <v>5.7602301000000002E-2</v>
      </c>
      <c r="I88" s="1">
        <f t="shared" si="39"/>
        <v>5.7346570999999999E-2</v>
      </c>
    </row>
    <row r="90" spans="1:9" x14ac:dyDescent="0.25">
      <c r="A90" s="5" t="s">
        <v>10</v>
      </c>
      <c r="B90" s="5"/>
      <c r="C90" s="5"/>
      <c r="D90" s="5"/>
      <c r="E90" s="5"/>
      <c r="F90" s="5"/>
      <c r="G90" s="5"/>
      <c r="H90" s="5"/>
      <c r="I90" s="5"/>
    </row>
    <row r="91" spans="1:9" x14ac:dyDescent="0.25">
      <c r="A91" t="s">
        <v>0</v>
      </c>
      <c r="B91">
        <v>1</v>
      </c>
      <c r="C91">
        <v>2</v>
      </c>
      <c r="D91">
        <v>3</v>
      </c>
      <c r="E91">
        <v>4</v>
      </c>
      <c r="F91">
        <v>5</v>
      </c>
      <c r="G91">
        <v>6</v>
      </c>
      <c r="H91">
        <v>7</v>
      </c>
      <c r="I91">
        <v>8</v>
      </c>
    </row>
    <row r="92" spans="1:9" x14ac:dyDescent="0.25">
      <c r="A92">
        <v>50</v>
      </c>
      <c r="B92" s="2">
        <f>20*LOG(((B81/5)*B$73)/(B70*(B$84/5)), 10)</f>
        <v>-4.2406135545266102</v>
      </c>
      <c r="C92" s="2">
        <f t="shared" ref="C92:I92" si="40">20*LOG(((C81/5)*C$73)/(C70*(C$84/5)), 10)</f>
        <v>-4.203846100845575</v>
      </c>
      <c r="D92" s="2">
        <f t="shared" si="40"/>
        <v>-4.2955560884875501</v>
      </c>
      <c r="E92" s="2">
        <f t="shared" si="40"/>
        <v>-4.1648093552128431</v>
      </c>
      <c r="F92" s="2">
        <f t="shared" si="40"/>
        <v>-4.2687879418630414</v>
      </c>
      <c r="G92" s="2">
        <f t="shared" si="40"/>
        <v>-4.2445296662841745</v>
      </c>
      <c r="H92" s="2">
        <f t="shared" si="40"/>
        <v>-4.2952509065758768</v>
      </c>
      <c r="I92" s="2">
        <f t="shared" si="40"/>
        <v>-4.2829744984920364</v>
      </c>
    </row>
    <row r="93" spans="1:9" x14ac:dyDescent="0.25">
      <c r="A93">
        <v>60</v>
      </c>
      <c r="B93" s="2">
        <f t="shared" ref="B93:I93" si="41">20*LOG(((B82/5)*B$73)/(B71*(B$84/5)), 10)</f>
        <v>-1.1129930431311517</v>
      </c>
      <c r="C93" s="2">
        <f t="shared" si="41"/>
        <v>-1.1124131358917917</v>
      </c>
      <c r="D93" s="2">
        <f t="shared" si="41"/>
        <v>-1.149439633805756</v>
      </c>
      <c r="E93" s="2">
        <f t="shared" si="41"/>
        <v>-1.0811496724674079</v>
      </c>
      <c r="F93" s="2">
        <f t="shared" si="41"/>
        <v>-1.1205569508592288</v>
      </c>
      <c r="G93" s="2">
        <f t="shared" si="41"/>
        <v>-1.1340107956512817</v>
      </c>
      <c r="H93" s="2">
        <f t="shared" si="41"/>
        <v>-1.0643431100340415</v>
      </c>
      <c r="I93" s="2">
        <f t="shared" si="41"/>
        <v>-1.1168448795796759</v>
      </c>
    </row>
    <row r="94" spans="1:9" x14ac:dyDescent="0.25">
      <c r="A94">
        <v>70</v>
      </c>
      <c r="B94" s="2">
        <f t="shared" ref="B94:I94" si="42">20*LOG(((B83/5)*B$73)/(B72*(B$84/5)), 10)</f>
        <v>-0.23748702781467856</v>
      </c>
      <c r="C94" s="2">
        <f t="shared" si="42"/>
        <v>-0.25561159468528444</v>
      </c>
      <c r="D94" s="2">
        <f t="shared" si="42"/>
        <v>-0.26409173525171648</v>
      </c>
      <c r="E94" s="2">
        <f t="shared" si="42"/>
        <v>-0.2395243157863387</v>
      </c>
      <c r="F94" s="2">
        <f t="shared" si="42"/>
        <v>-0.24241620327778021</v>
      </c>
      <c r="G94" s="2">
        <f t="shared" si="42"/>
        <v>-0.25993304877200535</v>
      </c>
      <c r="H94" s="2">
        <f t="shared" si="42"/>
        <v>-0.17279934371787392</v>
      </c>
      <c r="I94" s="2">
        <f t="shared" si="42"/>
        <v>-0.23469173329795087</v>
      </c>
    </row>
    <row r="95" spans="1:9" x14ac:dyDescent="0.25">
      <c r="A95">
        <v>100</v>
      </c>
      <c r="B95" s="2">
        <f t="shared" ref="B95:I95" si="43">20*LOG(((B84/5)*B$73)/(B73*(B$84/5)), 10)</f>
        <v>0</v>
      </c>
      <c r="C95" s="2">
        <f t="shared" si="43"/>
        <v>0</v>
      </c>
      <c r="D95" s="2">
        <f t="shared" si="43"/>
        <v>0</v>
      </c>
      <c r="E95" s="2">
        <f t="shared" si="43"/>
        <v>0</v>
      </c>
      <c r="F95" s="2">
        <f t="shared" si="43"/>
        <v>0</v>
      </c>
      <c r="G95" s="2">
        <f t="shared" si="43"/>
        <v>0</v>
      </c>
      <c r="H95" s="2">
        <f t="shared" si="43"/>
        <v>0</v>
      </c>
      <c r="I95" s="2">
        <f t="shared" si="43"/>
        <v>0</v>
      </c>
    </row>
    <row r="96" spans="1:9" x14ac:dyDescent="0.25">
      <c r="A96">
        <v>140</v>
      </c>
      <c r="B96" s="2">
        <f t="shared" ref="B96:I96" si="44">20*LOG(((B85/5)*B$73)/(B74*(B$84/5)), 10)</f>
        <v>-8.3428582766037498E-2</v>
      </c>
      <c r="C96" s="2">
        <f t="shared" si="44"/>
        <v>-5.3928697875541075E-2</v>
      </c>
      <c r="D96" s="2">
        <f t="shared" si="44"/>
        <v>-7.8972495004594717E-2</v>
      </c>
      <c r="E96" s="2">
        <f t="shared" si="44"/>
        <v>-6.8125258451934026E-2</v>
      </c>
      <c r="F96" s="2">
        <f t="shared" si="44"/>
        <v>-8.6282158749385274E-2</v>
      </c>
      <c r="G96" s="2">
        <f t="shared" si="44"/>
        <v>-7.7514105132569441E-2</v>
      </c>
      <c r="H96" s="2">
        <f t="shared" si="44"/>
        <v>-0.1400171050082773</v>
      </c>
      <c r="I96" s="2">
        <f t="shared" si="44"/>
        <v>-0.10291088256986433</v>
      </c>
    </row>
    <row r="97" spans="1:9" x14ac:dyDescent="0.25">
      <c r="A97">
        <v>180</v>
      </c>
      <c r="B97" s="2">
        <f t="shared" ref="B97:I97" si="45">20*LOG(((B86/5)*B$73)/(B75*(B$84/5)), 10)</f>
        <v>-0.19080279080498433</v>
      </c>
      <c r="C97" s="2">
        <f t="shared" si="45"/>
        <v>-0.12166734848817468</v>
      </c>
      <c r="D97" s="2">
        <f t="shared" si="45"/>
        <v>-0.17085883074012542</v>
      </c>
      <c r="E97" s="2">
        <f t="shared" si="45"/>
        <v>-0.14539322546073682</v>
      </c>
      <c r="F97" s="2">
        <f t="shared" si="45"/>
        <v>-0.19190029197578945</v>
      </c>
      <c r="G97" s="2">
        <f t="shared" si="45"/>
        <v>-0.18729065917088672</v>
      </c>
      <c r="H97" s="2">
        <f t="shared" si="45"/>
        <v>-0.26586845041545021</v>
      </c>
      <c r="I97" s="2">
        <f t="shared" si="45"/>
        <v>-0.21944166060391979</v>
      </c>
    </row>
    <row r="98" spans="1:9" x14ac:dyDescent="0.25">
      <c r="A98">
        <v>210</v>
      </c>
      <c r="B98" s="2">
        <f t="shared" ref="B98:I98" si="46">20*LOG(((B87/5)*B$73)/(B76*(B$84/5)), 10)</f>
        <v>-0.57973179216900805</v>
      </c>
      <c r="C98" s="2">
        <f t="shared" si="46"/>
        <v>-0.4632138848958034</v>
      </c>
      <c r="D98" s="2">
        <f t="shared" si="46"/>
        <v>-0.52898408131093322</v>
      </c>
      <c r="E98" s="2">
        <f t="shared" si="46"/>
        <v>-0.48193461824585232</v>
      </c>
      <c r="F98" s="2">
        <f t="shared" si="46"/>
        <v>-0.57615871666031537</v>
      </c>
      <c r="G98" s="2">
        <f t="shared" si="46"/>
        <v>-0.57559848038608596</v>
      </c>
      <c r="H98" s="2">
        <f t="shared" si="46"/>
        <v>-0.64497795695904914</v>
      </c>
      <c r="I98" s="2">
        <f t="shared" si="46"/>
        <v>-0.60533578464958049</v>
      </c>
    </row>
    <row r="99" spans="1:9" x14ac:dyDescent="0.25">
      <c r="A99">
        <v>250</v>
      </c>
      <c r="B99" s="2">
        <f t="shared" ref="B99:I99" si="47">20*LOG(((B88/5)*B$73)/(B77*(B$84/5)), 10)</f>
        <v>-2.3768266391809099</v>
      </c>
      <c r="C99" s="2">
        <f t="shared" si="47"/>
        <v>-2.15092322206679</v>
      </c>
      <c r="D99" s="2">
        <f t="shared" si="47"/>
        <v>-2.2314877477775079</v>
      </c>
      <c r="E99" s="2">
        <f t="shared" si="47"/>
        <v>-2.1456369354496103</v>
      </c>
      <c r="F99" s="2">
        <f t="shared" si="47"/>
        <v>-2.3519325780196474</v>
      </c>
      <c r="G99" s="2">
        <f t="shared" si="47"/>
        <v>-2.3649499632631681</v>
      </c>
      <c r="H99" s="2">
        <f t="shared" si="47"/>
        <v>-2.3703018027305038</v>
      </c>
      <c r="I99" s="2">
        <f t="shared" si="47"/>
        <v>-2.3741791320699881</v>
      </c>
    </row>
  </sheetData>
  <mergeCells count="9">
    <mergeCell ref="A68:I68"/>
    <mergeCell ref="A79:I79"/>
    <mergeCell ref="A90:I90"/>
    <mergeCell ref="A57:I57"/>
    <mergeCell ref="A1:I1"/>
    <mergeCell ref="A12:I12"/>
    <mergeCell ref="A23:I23"/>
    <mergeCell ref="A35:I35"/>
    <mergeCell ref="A46:I46"/>
  </mergeCells>
  <conditionalFormatting sqref="B25:I32">
    <cfRule type="cellIs" dxfId="11" priority="7" operator="lessThan">
      <formula>-5.5</formula>
    </cfRule>
    <cfRule type="cellIs" dxfId="10" priority="8" operator="greaterThan">
      <formula>0.5</formula>
    </cfRule>
  </conditionalFormatting>
  <conditionalFormatting sqref="B26:I26 B31:I31">
    <cfRule type="cellIs" dxfId="9" priority="6" operator="lessThan">
      <formula>-2</formula>
    </cfRule>
  </conditionalFormatting>
  <conditionalFormatting sqref="B27:I30">
    <cfRule type="cellIs" dxfId="8" priority="5" operator="lessThan">
      <formula>-0.5</formula>
    </cfRule>
  </conditionalFormatting>
  <conditionalFormatting sqref="B59:I66">
    <cfRule type="cellIs" dxfId="7" priority="11" operator="lessThan">
      <formula>-5.5</formula>
    </cfRule>
    <cfRule type="cellIs" dxfId="6" priority="12" operator="greaterThan">
      <formula>0.5</formula>
    </cfRule>
  </conditionalFormatting>
  <conditionalFormatting sqref="B60:I60 B65:I65">
    <cfRule type="cellIs" dxfId="5" priority="10" operator="lessThan">
      <formula>-2</formula>
    </cfRule>
  </conditionalFormatting>
  <conditionalFormatting sqref="B61:I64">
    <cfRule type="cellIs" dxfId="4" priority="9" operator="lessThan">
      <formula>-0.5</formula>
    </cfRule>
  </conditionalFormatting>
  <conditionalFormatting sqref="B92:I99">
    <cfRule type="cellIs" dxfId="3" priority="3" operator="lessThan">
      <formula>-5.5</formula>
    </cfRule>
    <cfRule type="cellIs" dxfId="2" priority="4" operator="greaterThan">
      <formula>0.5</formula>
    </cfRule>
  </conditionalFormatting>
  <conditionalFormatting sqref="B93:I93 B98:I98">
    <cfRule type="cellIs" dxfId="1" priority="2" operator="lessThan">
      <formula>-2</formula>
    </cfRule>
  </conditionalFormatting>
  <conditionalFormatting sqref="B94:I97">
    <cfRule type="cellIs" dxfId="0" priority="1" operator="lessThan">
      <formula>-0.5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Shaev Andrew</cp:lastModifiedBy>
  <dcterms:created xsi:type="dcterms:W3CDTF">2015-06-05T18:17:20Z</dcterms:created>
  <dcterms:modified xsi:type="dcterms:W3CDTF">2026-04-27T08:32:43Z</dcterms:modified>
</cp:coreProperties>
</file>
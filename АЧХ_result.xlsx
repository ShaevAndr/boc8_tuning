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ndrew\Desktop\боц8\"/>
    </mc:Choice>
  </mc:AlternateContent>
  <xr:revisionPtr revIDLastSave="0" documentId="8_{325014C8-87D0-4FCB-B8CC-D6B976C472F8}" xr6:coauthVersionLast="47" xr6:coauthVersionMax="47" xr10:uidLastSave="{00000000-0000-0000-0000-000000000000}"/>
  <bookViews>
    <workbookView xWindow="2640" yWindow="195" windowWidth="21600" windowHeight="113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5" i="1" l="1"/>
  <c r="H55" i="1"/>
  <c r="G55" i="1"/>
  <c r="F55" i="1"/>
  <c r="E55" i="1"/>
  <c r="D55" i="1"/>
  <c r="C55" i="1"/>
  <c r="B55" i="1"/>
  <c r="I54" i="1"/>
  <c r="H54" i="1"/>
  <c r="G54" i="1"/>
  <c r="F54" i="1"/>
  <c r="E54" i="1"/>
  <c r="D54" i="1"/>
  <c r="C54" i="1"/>
  <c r="B54" i="1"/>
  <c r="I53" i="1"/>
  <c r="H53" i="1"/>
  <c r="G53" i="1"/>
  <c r="F53" i="1"/>
  <c r="E53" i="1"/>
  <c r="D53" i="1"/>
  <c r="C53" i="1"/>
  <c r="B53" i="1"/>
  <c r="I52" i="1"/>
  <c r="H52" i="1"/>
  <c r="G52" i="1"/>
  <c r="F52" i="1"/>
  <c r="E52" i="1"/>
  <c r="D52" i="1"/>
  <c r="C52" i="1"/>
  <c r="B52" i="1"/>
  <c r="I51" i="1"/>
  <c r="H51" i="1"/>
  <c r="G51" i="1"/>
  <c r="F51" i="1"/>
  <c r="E51" i="1"/>
  <c r="D51" i="1"/>
  <c r="C51" i="1"/>
  <c r="B51" i="1"/>
  <c r="I50" i="1"/>
  <c r="H50" i="1"/>
  <c r="G50" i="1"/>
  <c r="F50" i="1"/>
  <c r="E50" i="1"/>
  <c r="D50" i="1"/>
  <c r="C50" i="1"/>
  <c r="B50" i="1"/>
  <c r="I49" i="1"/>
  <c r="H49" i="1"/>
  <c r="G49" i="1"/>
  <c r="F49" i="1"/>
  <c r="E49" i="1"/>
  <c r="D49" i="1"/>
  <c r="C49" i="1"/>
  <c r="B49" i="1"/>
  <c r="I48" i="1"/>
  <c r="H48" i="1"/>
  <c r="G48" i="1"/>
  <c r="F48" i="1"/>
  <c r="E48" i="1"/>
  <c r="D48" i="1"/>
  <c r="C48" i="1"/>
  <c r="B48" i="1"/>
  <c r="I44" i="1"/>
  <c r="H44" i="1"/>
  <c r="G44" i="1"/>
  <c r="F44" i="1"/>
  <c r="E44" i="1"/>
  <c r="D44" i="1"/>
  <c r="C44" i="1"/>
  <c r="B44" i="1"/>
  <c r="I43" i="1"/>
  <c r="H43" i="1"/>
  <c r="G43" i="1"/>
  <c r="F43" i="1"/>
  <c r="E43" i="1"/>
  <c r="D43" i="1"/>
  <c r="C43" i="1"/>
  <c r="B43" i="1"/>
  <c r="I42" i="1"/>
  <c r="H42" i="1"/>
  <c r="G42" i="1"/>
  <c r="F42" i="1"/>
  <c r="E42" i="1"/>
  <c r="D42" i="1"/>
  <c r="C42" i="1"/>
  <c r="B42" i="1"/>
  <c r="I41" i="1"/>
  <c r="H41" i="1"/>
  <c r="G41" i="1"/>
  <c r="F41" i="1"/>
  <c r="E41" i="1"/>
  <c r="D41" i="1"/>
  <c r="C41" i="1"/>
  <c r="B41" i="1"/>
  <c r="I40" i="1"/>
  <c r="H40" i="1"/>
  <c r="G40" i="1"/>
  <c r="F40" i="1"/>
  <c r="E40" i="1"/>
  <c r="D40" i="1"/>
  <c r="C40" i="1"/>
  <c r="B40" i="1"/>
  <c r="I39" i="1"/>
  <c r="H39" i="1"/>
  <c r="G39" i="1"/>
  <c r="F39" i="1"/>
  <c r="E39" i="1"/>
  <c r="D39" i="1"/>
  <c r="C39" i="1"/>
  <c r="B39" i="1"/>
  <c r="I38" i="1"/>
  <c r="H38" i="1"/>
  <c r="G38" i="1"/>
  <c r="F38" i="1"/>
  <c r="E38" i="1"/>
  <c r="D38" i="1"/>
  <c r="C38" i="1"/>
  <c r="B38" i="1"/>
  <c r="I37" i="1"/>
  <c r="H37" i="1"/>
  <c r="G37" i="1"/>
  <c r="F37" i="1"/>
  <c r="E37" i="1"/>
  <c r="D37" i="1"/>
  <c r="C37" i="1"/>
  <c r="B37" i="1"/>
  <c r="F29" i="1"/>
  <c r="I21" i="1"/>
  <c r="H21" i="1"/>
  <c r="G21" i="1"/>
  <c r="F21" i="1"/>
  <c r="F32" i="1" s="1"/>
  <c r="E21" i="1"/>
  <c r="D21" i="1"/>
  <c r="C21" i="1"/>
  <c r="B21" i="1"/>
  <c r="B32" i="1" s="1"/>
  <c r="I20" i="1"/>
  <c r="H20" i="1"/>
  <c r="G20" i="1"/>
  <c r="F20" i="1"/>
  <c r="E20" i="1"/>
  <c r="D20" i="1"/>
  <c r="C20" i="1"/>
  <c r="B20" i="1"/>
  <c r="I19" i="1"/>
  <c r="H19" i="1"/>
  <c r="G19" i="1"/>
  <c r="F19" i="1"/>
  <c r="E19" i="1"/>
  <c r="D19" i="1"/>
  <c r="C19" i="1"/>
  <c r="B19" i="1"/>
  <c r="B30" i="1" s="1"/>
  <c r="I18" i="1"/>
  <c r="H18" i="1"/>
  <c r="G18" i="1"/>
  <c r="F18" i="1"/>
  <c r="E18" i="1"/>
  <c r="D18" i="1"/>
  <c r="C18" i="1"/>
  <c r="B18" i="1"/>
  <c r="I17" i="1"/>
  <c r="H17" i="1"/>
  <c r="G17" i="1"/>
  <c r="F17" i="1"/>
  <c r="E17" i="1"/>
  <c r="D17" i="1"/>
  <c r="C17" i="1"/>
  <c r="B17" i="1"/>
  <c r="I16" i="1"/>
  <c r="H16" i="1"/>
  <c r="G16" i="1"/>
  <c r="F16" i="1"/>
  <c r="F27" i="1" s="1"/>
  <c r="E16" i="1"/>
  <c r="D16" i="1"/>
  <c r="C16" i="1"/>
  <c r="B16" i="1"/>
  <c r="I15" i="1"/>
  <c r="H15" i="1"/>
  <c r="G15" i="1"/>
  <c r="F15" i="1"/>
  <c r="F26" i="1" s="1"/>
  <c r="E15" i="1"/>
  <c r="D15" i="1"/>
  <c r="C15" i="1"/>
  <c r="B15" i="1"/>
  <c r="I14" i="1"/>
  <c r="H14" i="1"/>
  <c r="G14" i="1"/>
  <c r="F14" i="1"/>
  <c r="E14" i="1"/>
  <c r="D14" i="1"/>
  <c r="C14" i="1"/>
  <c r="B14" i="1"/>
  <c r="I10" i="1"/>
  <c r="H10" i="1"/>
  <c r="G10" i="1"/>
  <c r="F10" i="1"/>
  <c r="E10" i="1"/>
  <c r="D10" i="1"/>
  <c r="C10" i="1"/>
  <c r="B10" i="1"/>
  <c r="I9" i="1"/>
  <c r="H9" i="1"/>
  <c r="G9" i="1"/>
  <c r="F9" i="1"/>
  <c r="E9" i="1"/>
  <c r="D9" i="1"/>
  <c r="C9" i="1"/>
  <c r="B9" i="1"/>
  <c r="I8" i="1"/>
  <c r="H8" i="1"/>
  <c r="G8" i="1"/>
  <c r="F8" i="1"/>
  <c r="E8" i="1"/>
  <c r="D8" i="1"/>
  <c r="C8" i="1"/>
  <c r="B8" i="1"/>
  <c r="I7" i="1"/>
  <c r="H7" i="1"/>
  <c r="G7" i="1"/>
  <c r="F7" i="1"/>
  <c r="E7" i="1"/>
  <c r="D7" i="1"/>
  <c r="C7" i="1"/>
  <c r="B7" i="1"/>
  <c r="I6" i="1"/>
  <c r="H6" i="1"/>
  <c r="G6" i="1"/>
  <c r="F6" i="1"/>
  <c r="E6" i="1"/>
  <c r="D6" i="1"/>
  <c r="C6" i="1"/>
  <c r="B6" i="1"/>
  <c r="I5" i="1"/>
  <c r="H5" i="1"/>
  <c r="G5" i="1"/>
  <c r="F5" i="1"/>
  <c r="E5" i="1"/>
  <c r="D5" i="1"/>
  <c r="C5" i="1"/>
  <c r="B5" i="1"/>
  <c r="I4" i="1"/>
  <c r="H4" i="1"/>
  <c r="G4" i="1"/>
  <c r="F4" i="1"/>
  <c r="E4" i="1"/>
  <c r="D4" i="1"/>
  <c r="C4" i="1"/>
  <c r="B4" i="1"/>
  <c r="I3" i="1"/>
  <c r="H3" i="1"/>
  <c r="G3" i="1"/>
  <c r="F3" i="1"/>
  <c r="E3" i="1"/>
  <c r="D3" i="1"/>
  <c r="C3" i="1"/>
  <c r="B3" i="1"/>
  <c r="F59" i="1" l="1"/>
  <c r="B60" i="1"/>
  <c r="F25" i="1"/>
  <c r="B26" i="1"/>
  <c r="B28" i="1"/>
  <c r="F28" i="1"/>
  <c r="F30" i="1"/>
  <c r="F31" i="1"/>
  <c r="D59" i="1"/>
  <c r="H59" i="1"/>
  <c r="D60" i="1"/>
  <c r="H60" i="1"/>
  <c r="D61" i="1"/>
  <c r="H61" i="1"/>
  <c r="D62" i="1"/>
  <c r="H62" i="1"/>
  <c r="D63" i="1"/>
  <c r="H63" i="1"/>
  <c r="D64" i="1"/>
  <c r="H64" i="1"/>
  <c r="D65" i="1"/>
  <c r="H65" i="1"/>
  <c r="D66" i="1"/>
  <c r="H66" i="1"/>
  <c r="D25" i="1"/>
  <c r="D27" i="1"/>
  <c r="E59" i="1"/>
  <c r="E60" i="1"/>
  <c r="E61" i="1"/>
  <c r="E62" i="1"/>
  <c r="E63" i="1"/>
  <c r="I63" i="1"/>
  <c r="E64" i="1"/>
  <c r="I64" i="1"/>
  <c r="E65" i="1"/>
  <c r="I65" i="1"/>
  <c r="I66" i="1"/>
  <c r="B25" i="1"/>
  <c r="B27" i="1"/>
  <c r="B29" i="1"/>
  <c r="B31" i="1"/>
  <c r="B59" i="1"/>
  <c r="F60" i="1"/>
  <c r="B61" i="1"/>
  <c r="H25" i="1"/>
  <c r="D26" i="1"/>
  <c r="H26" i="1"/>
  <c r="H27" i="1"/>
  <c r="D28" i="1"/>
  <c r="H28" i="1"/>
  <c r="D29" i="1"/>
  <c r="H29" i="1"/>
  <c r="D30" i="1"/>
  <c r="H30" i="1"/>
  <c r="D31" i="1"/>
  <c r="H31" i="1"/>
  <c r="D32" i="1"/>
  <c r="H32" i="1"/>
  <c r="E25" i="1"/>
  <c r="I25" i="1"/>
  <c r="E26" i="1"/>
  <c r="I26" i="1"/>
  <c r="E27" i="1"/>
  <c r="I27" i="1"/>
  <c r="E28" i="1"/>
  <c r="I28" i="1"/>
  <c r="E29" i="1"/>
  <c r="I29" i="1"/>
  <c r="E30" i="1"/>
  <c r="I30" i="1"/>
  <c r="E31" i="1"/>
  <c r="I31" i="1"/>
  <c r="E32" i="1"/>
  <c r="I32" i="1"/>
  <c r="I59" i="1"/>
  <c r="I60" i="1"/>
  <c r="I61" i="1"/>
  <c r="I62" i="1"/>
  <c r="E66" i="1"/>
  <c r="C25" i="1"/>
  <c r="G25" i="1"/>
  <c r="C26" i="1"/>
  <c r="G26" i="1"/>
  <c r="C27" i="1"/>
  <c r="G27" i="1"/>
  <c r="C28" i="1"/>
  <c r="G28" i="1"/>
  <c r="C29" i="1"/>
  <c r="G29" i="1"/>
  <c r="C30" i="1"/>
  <c r="G30" i="1"/>
  <c r="C31" i="1"/>
  <c r="G31" i="1"/>
  <c r="C32" i="1"/>
  <c r="G32" i="1"/>
  <c r="C59" i="1"/>
  <c r="G59" i="1"/>
  <c r="C60" i="1"/>
  <c r="G60" i="1"/>
  <c r="C61" i="1"/>
  <c r="G61" i="1"/>
  <c r="C62" i="1"/>
  <c r="G62" i="1"/>
  <c r="C63" i="1"/>
  <c r="G63" i="1"/>
  <c r="C64" i="1"/>
  <c r="G64" i="1"/>
  <c r="C65" i="1"/>
  <c r="G65" i="1"/>
  <c r="C66" i="1"/>
  <c r="G66" i="1"/>
  <c r="F61" i="1"/>
  <c r="B62" i="1"/>
  <c r="F62" i="1"/>
  <c r="B63" i="1"/>
  <c r="F63" i="1"/>
  <c r="B64" i="1"/>
  <c r="F64" i="1"/>
  <c r="B65" i="1"/>
  <c r="F65" i="1"/>
  <c r="B66" i="1"/>
  <c r="F66" i="1"/>
</calcChain>
</file>

<file path=xl/sharedStrings.xml><?xml version="1.0" encoding="utf-8"?>
<sst xmlns="http://schemas.openxmlformats.org/spreadsheetml/2006/main" count="12" uniqueCount="8">
  <si>
    <t>Установленное значение при коэффициенте усиления 10</t>
  </si>
  <si>
    <t>частота\канал</t>
  </si>
  <si>
    <t>Измеренное значение при коэффициенте усиления 10</t>
  </si>
  <si>
    <t>Погрешность при коеффициенте усления 10</t>
  </si>
  <si>
    <t>Установленное значение при коэффициенте усиления 1</t>
  </si>
  <si>
    <t>частота/канал</t>
  </si>
  <si>
    <t>Измеренное значение при коэффициенте усиления 1</t>
  </si>
  <si>
    <t>Погрешность при коеффициенте усления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</si>
</sst>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/>
    <xf numFmtId="11" fontId="1" fillId="0" borderId="1" xfId="0" applyNumberFormat="1" applyFont="1" applyBorder="1"/>
  </cellXfs>
  <cellStyles count="1">
    <cellStyle name="Обычный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6"/>
  <sheetViews>
    <sheetView tabSelected="1" topLeftCell="A16" workbookViewId="0">
      <selection activeCell="O26" sqref="O26"/>
    </sheetView>
  </sheetViews>
  <sheetFormatPr defaultRowHeight="15" x14ac:dyDescent="0.25"/>
  <cols>
    <col min="13" max="20" width="13.5703125" customWidth="1"/>
  </cols>
  <sheetData>
    <row r="1" spans="1:20" x14ac:dyDescent="0.25">
      <c r="A1" s="4" t="s">
        <v>0</v>
      </c>
      <c r="B1" s="4"/>
      <c r="C1" s="4"/>
      <c r="D1" s="4"/>
      <c r="E1" s="4"/>
      <c r="F1" s="4"/>
      <c r="G1" s="4"/>
      <c r="H1" s="4"/>
      <c r="I1" s="4"/>
      <c r="M1" s="5">
        <v>1.0494033999999999E-2</v>
      </c>
      <c r="N1" s="5">
        <v>1.0488305999999999E-2</v>
      </c>
      <c r="O1" s="5">
        <v>1.0509714E-2</v>
      </c>
      <c r="P1" s="5">
        <v>1.0486987E-2</v>
      </c>
      <c r="Q1" s="5">
        <v>1.0473503E-2</v>
      </c>
      <c r="R1" s="5">
        <v>1.0518176000000001E-2</v>
      </c>
      <c r="S1" s="5">
        <v>1.0392599000000001E-2</v>
      </c>
      <c r="T1" s="5">
        <v>1.0447369E-2</v>
      </c>
    </row>
    <row r="2" spans="1:20" x14ac:dyDescent="0.25">
      <c r="A2" t="s">
        <v>1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M2" s="5">
        <v>1.0125511E-2</v>
      </c>
      <c r="N2" s="5">
        <v>1.0133171E-2</v>
      </c>
      <c r="O2" s="5">
        <v>1.0129958999999999E-2</v>
      </c>
      <c r="P2" s="5">
        <v>1.0135435999999999E-2</v>
      </c>
      <c r="Q2" s="5">
        <v>1.0096318E-2</v>
      </c>
      <c r="R2" s="5">
        <v>1.0156302000000001E-2</v>
      </c>
      <c r="S2" s="5">
        <v>9.9705479999999992E-3</v>
      </c>
      <c r="T2" s="5">
        <v>1.0059319000000001E-2</v>
      </c>
    </row>
    <row r="3" spans="1:20" x14ac:dyDescent="0.25">
      <c r="A3">
        <v>50</v>
      </c>
      <c r="B3" s="1">
        <f>M1</f>
        <v>1.0494033999999999E-2</v>
      </c>
      <c r="C3" s="1">
        <f t="shared" ref="C3:I10" si="0">N1</f>
        <v>1.0488305999999999E-2</v>
      </c>
      <c r="D3" s="1">
        <f t="shared" si="0"/>
        <v>1.0509714E-2</v>
      </c>
      <c r="E3" s="1">
        <f t="shared" si="0"/>
        <v>1.0486987E-2</v>
      </c>
      <c r="F3" s="1">
        <f t="shared" si="0"/>
        <v>1.0473503E-2</v>
      </c>
      <c r="G3" s="1">
        <f t="shared" si="0"/>
        <v>1.0518176000000001E-2</v>
      </c>
      <c r="H3" s="1">
        <f t="shared" si="0"/>
        <v>1.0392599000000001E-2</v>
      </c>
      <c r="I3" s="1">
        <f t="shared" si="0"/>
        <v>1.0447369E-2</v>
      </c>
      <c r="M3" s="5">
        <v>1.0072579999999999E-2</v>
      </c>
      <c r="N3" s="5">
        <v>1.0079855E-2</v>
      </c>
      <c r="O3" s="5">
        <v>1.0063241000000001E-2</v>
      </c>
      <c r="P3" s="5">
        <v>1.0087572E-2</v>
      </c>
      <c r="Q3" s="5">
        <v>1.0038597999999999E-2</v>
      </c>
      <c r="R3" s="5">
        <v>1.0099267E-2</v>
      </c>
      <c r="S3" s="5">
        <v>9.9135270000000001E-3</v>
      </c>
      <c r="T3" s="5">
        <v>1.0005877E-2</v>
      </c>
    </row>
    <row r="4" spans="1:20" x14ac:dyDescent="0.25">
      <c r="A4">
        <v>60</v>
      </c>
      <c r="B4" s="1">
        <f t="shared" ref="B4:B10" si="1">M2</f>
        <v>1.0125511E-2</v>
      </c>
      <c r="C4" s="1">
        <f t="shared" si="0"/>
        <v>1.0133171E-2</v>
      </c>
      <c r="D4" s="1">
        <f t="shared" si="0"/>
        <v>1.0129958999999999E-2</v>
      </c>
      <c r="E4" s="1">
        <f t="shared" si="0"/>
        <v>1.0135435999999999E-2</v>
      </c>
      <c r="F4" s="1">
        <f t="shared" si="0"/>
        <v>1.0096318E-2</v>
      </c>
      <c r="G4" s="1">
        <f t="shared" si="0"/>
        <v>1.0156302000000001E-2</v>
      </c>
      <c r="H4" s="1">
        <f t="shared" si="0"/>
        <v>9.9705479999999992E-3</v>
      </c>
      <c r="I4" s="1">
        <f t="shared" si="0"/>
        <v>1.0059319000000001E-2</v>
      </c>
      <c r="M4" s="5">
        <v>1.0291616999999999E-2</v>
      </c>
      <c r="N4" s="5">
        <v>1.0285301E-2</v>
      </c>
      <c r="O4" s="5">
        <v>1.0278666000000001E-2</v>
      </c>
      <c r="P4" s="5">
        <v>1.0302929000000001E-2</v>
      </c>
      <c r="Q4" s="5">
        <v>1.0258524E-2</v>
      </c>
      <c r="R4" s="5">
        <v>1.0298618000000001E-2</v>
      </c>
      <c r="S4" s="5">
        <v>1.0191199E-2</v>
      </c>
      <c r="T4" s="5">
        <v>1.0240351E-2</v>
      </c>
    </row>
    <row r="5" spans="1:20" x14ac:dyDescent="0.25">
      <c r="A5">
        <v>70</v>
      </c>
      <c r="B5" s="1">
        <f t="shared" si="1"/>
        <v>1.0072579999999999E-2</v>
      </c>
      <c r="C5" s="1">
        <f t="shared" si="0"/>
        <v>1.0079855E-2</v>
      </c>
      <c r="D5" s="1">
        <f t="shared" si="0"/>
        <v>1.0063241000000001E-2</v>
      </c>
      <c r="E5" s="1">
        <f t="shared" si="0"/>
        <v>1.0087572E-2</v>
      </c>
      <c r="F5" s="1">
        <f t="shared" si="0"/>
        <v>1.0038597999999999E-2</v>
      </c>
      <c r="G5" s="1">
        <f t="shared" si="0"/>
        <v>1.0099267E-2</v>
      </c>
      <c r="H5" s="1">
        <f t="shared" si="0"/>
        <v>9.9135270000000001E-3</v>
      </c>
      <c r="I5" s="1">
        <f t="shared" si="0"/>
        <v>1.0005877E-2</v>
      </c>
      <c r="M5" s="5">
        <v>1.0501385E-2</v>
      </c>
      <c r="N5" s="5">
        <v>1.0481285E-2</v>
      </c>
      <c r="O5" s="5">
        <v>1.0489877E-2</v>
      </c>
      <c r="P5" s="5">
        <v>1.049393E-2</v>
      </c>
      <c r="Q5" s="5">
        <v>1.0463108E-2</v>
      </c>
      <c r="R5" s="5">
        <v>1.0497444E-2</v>
      </c>
      <c r="S5" s="5">
        <v>1.0431411999999999E-2</v>
      </c>
      <c r="T5" s="5">
        <v>1.0466695E-2</v>
      </c>
    </row>
    <row r="6" spans="1:20" x14ac:dyDescent="0.25">
      <c r="A6">
        <v>100</v>
      </c>
      <c r="B6" s="1">
        <f t="shared" si="1"/>
        <v>1.0291616999999999E-2</v>
      </c>
      <c r="C6" s="1">
        <f t="shared" si="0"/>
        <v>1.0285301E-2</v>
      </c>
      <c r="D6" s="1">
        <f t="shared" si="0"/>
        <v>1.0278666000000001E-2</v>
      </c>
      <c r="E6" s="1">
        <f t="shared" si="0"/>
        <v>1.0302929000000001E-2</v>
      </c>
      <c r="F6" s="1">
        <f t="shared" si="0"/>
        <v>1.0258524E-2</v>
      </c>
      <c r="G6" s="1">
        <f t="shared" si="0"/>
        <v>1.0298618000000001E-2</v>
      </c>
      <c r="H6" s="1">
        <f t="shared" si="0"/>
        <v>1.0191199E-2</v>
      </c>
      <c r="I6" s="1">
        <f t="shared" si="0"/>
        <v>1.0240351E-2</v>
      </c>
      <c r="M6" s="5">
        <v>1.0584153000000001E-2</v>
      </c>
      <c r="N6" s="5">
        <v>1.0567930999999999E-2</v>
      </c>
      <c r="O6" s="5">
        <v>1.0585679000000001E-2</v>
      </c>
      <c r="P6" s="5">
        <v>1.0580803999999999E-2</v>
      </c>
      <c r="Q6" s="5">
        <v>1.0545996E-2</v>
      </c>
      <c r="R6" s="5">
        <v>1.0583868999999999E-2</v>
      </c>
      <c r="S6" s="5">
        <v>1.0541148E-2</v>
      </c>
      <c r="T6" s="5">
        <v>1.0563116000000001E-2</v>
      </c>
    </row>
    <row r="7" spans="1:20" x14ac:dyDescent="0.25">
      <c r="A7">
        <v>140</v>
      </c>
      <c r="B7" s="1">
        <f t="shared" si="1"/>
        <v>1.0501385E-2</v>
      </c>
      <c r="C7" s="1">
        <f t="shared" si="0"/>
        <v>1.0481285E-2</v>
      </c>
      <c r="D7" s="1">
        <f t="shared" si="0"/>
        <v>1.0489877E-2</v>
      </c>
      <c r="E7" s="1">
        <f t="shared" si="0"/>
        <v>1.049393E-2</v>
      </c>
      <c r="F7" s="1">
        <f t="shared" si="0"/>
        <v>1.0463108E-2</v>
      </c>
      <c r="G7" s="1">
        <f t="shared" si="0"/>
        <v>1.0497444E-2</v>
      </c>
      <c r="H7" s="1">
        <f t="shared" si="0"/>
        <v>1.0431411999999999E-2</v>
      </c>
      <c r="I7" s="1">
        <f t="shared" si="0"/>
        <v>1.0466695E-2</v>
      </c>
      <c r="M7" s="5">
        <v>1.0618206E-2</v>
      </c>
      <c r="N7" s="5">
        <v>1.0597331E-2</v>
      </c>
      <c r="O7" s="5">
        <v>1.0613358999999999E-2</v>
      </c>
      <c r="P7" s="5">
        <v>1.059712E-2</v>
      </c>
      <c r="Q7" s="5">
        <v>1.0579145E-2</v>
      </c>
      <c r="R7" s="5">
        <v>1.0614465E-2</v>
      </c>
      <c r="S7" s="5">
        <v>1.0574251999999999E-2</v>
      </c>
      <c r="T7" s="5">
        <v>1.0587200999999999E-2</v>
      </c>
    </row>
    <row r="8" spans="1:20" x14ac:dyDescent="0.25">
      <c r="A8">
        <v>180</v>
      </c>
      <c r="B8" s="1">
        <f t="shared" si="1"/>
        <v>1.0584153000000001E-2</v>
      </c>
      <c r="C8" s="1">
        <f t="shared" si="0"/>
        <v>1.0567930999999999E-2</v>
      </c>
      <c r="D8" s="1">
        <f t="shared" si="0"/>
        <v>1.0585679000000001E-2</v>
      </c>
      <c r="E8" s="1">
        <f t="shared" si="0"/>
        <v>1.0580803999999999E-2</v>
      </c>
      <c r="F8" s="1">
        <f t="shared" si="0"/>
        <v>1.0545996E-2</v>
      </c>
      <c r="G8" s="1">
        <f t="shared" si="0"/>
        <v>1.0583868999999999E-2</v>
      </c>
      <c r="H8" s="1">
        <f t="shared" si="0"/>
        <v>1.0541148E-2</v>
      </c>
      <c r="I8" s="1">
        <f t="shared" si="0"/>
        <v>1.0563116000000001E-2</v>
      </c>
      <c r="M8" s="5">
        <v>1.0632855E-2</v>
      </c>
      <c r="N8" s="5">
        <v>1.0606206E-2</v>
      </c>
      <c r="O8" s="5">
        <v>1.0624727E-2</v>
      </c>
      <c r="P8" s="5">
        <v>1.0614002000000001E-2</v>
      </c>
      <c r="Q8" s="5">
        <v>1.0590876000000001E-2</v>
      </c>
      <c r="R8" s="5">
        <v>1.0623273000000001E-2</v>
      </c>
      <c r="S8" s="5">
        <v>1.0590271E-2</v>
      </c>
      <c r="T8" s="5">
        <v>1.0605582000000001E-2</v>
      </c>
    </row>
    <row r="9" spans="1:20" x14ac:dyDescent="0.25">
      <c r="A9">
        <v>210</v>
      </c>
      <c r="B9" s="1">
        <f t="shared" si="1"/>
        <v>1.0618206E-2</v>
      </c>
      <c r="C9" s="1">
        <f t="shared" si="0"/>
        <v>1.0597331E-2</v>
      </c>
      <c r="D9" s="1">
        <f t="shared" si="0"/>
        <v>1.0613358999999999E-2</v>
      </c>
      <c r="E9" s="1">
        <f t="shared" si="0"/>
        <v>1.059712E-2</v>
      </c>
      <c r="F9" s="1">
        <f t="shared" si="0"/>
        <v>1.0579145E-2</v>
      </c>
      <c r="G9" s="1">
        <f t="shared" si="0"/>
        <v>1.0614465E-2</v>
      </c>
      <c r="H9" s="1">
        <f t="shared" si="0"/>
        <v>1.0574251999999999E-2</v>
      </c>
      <c r="I9" s="1">
        <f t="shared" si="0"/>
        <v>1.0587200999999999E-2</v>
      </c>
      <c r="M9" s="5">
        <v>3.0131411E-2</v>
      </c>
      <c r="N9" s="5">
        <v>3.0141085000000001E-2</v>
      </c>
      <c r="O9" s="5">
        <v>2.9945295E-2</v>
      </c>
      <c r="P9" s="5">
        <v>3.0340947E-2</v>
      </c>
      <c r="Q9" s="5">
        <v>3.0025737E-2</v>
      </c>
      <c r="R9" s="5">
        <v>3.019179E-2</v>
      </c>
      <c r="S9" s="5">
        <v>2.9763161999999999E-2</v>
      </c>
      <c r="T9" s="5">
        <v>2.9904217E-2</v>
      </c>
    </row>
    <row r="10" spans="1:20" x14ac:dyDescent="0.25">
      <c r="A10">
        <v>250</v>
      </c>
      <c r="B10" s="1">
        <f t="shared" si="1"/>
        <v>1.0632855E-2</v>
      </c>
      <c r="C10" s="1">
        <f t="shared" si="0"/>
        <v>1.0606206E-2</v>
      </c>
      <c r="D10" s="1">
        <f t="shared" si="0"/>
        <v>1.0624727E-2</v>
      </c>
      <c r="E10" s="1">
        <f t="shared" si="0"/>
        <v>1.0614002000000001E-2</v>
      </c>
      <c r="F10" s="1">
        <f t="shared" si="0"/>
        <v>1.0590876000000001E-2</v>
      </c>
      <c r="G10" s="1">
        <f t="shared" si="0"/>
        <v>1.0623273000000001E-2</v>
      </c>
      <c r="H10" s="1">
        <f t="shared" si="0"/>
        <v>1.0590271E-2</v>
      </c>
      <c r="I10" s="1">
        <f t="shared" si="0"/>
        <v>1.0605582000000001E-2</v>
      </c>
      <c r="M10" s="5">
        <v>4.1457887999999998E-2</v>
      </c>
      <c r="N10" s="5">
        <v>4.1428588000000002E-2</v>
      </c>
      <c r="O10" s="5">
        <v>4.1284281999999999E-2</v>
      </c>
      <c r="P10" s="5">
        <v>4.1602548000000003E-2</v>
      </c>
      <c r="Q10" s="5">
        <v>4.1383247999999997E-2</v>
      </c>
      <c r="R10" s="5">
        <v>4.1467591999999998E-2</v>
      </c>
      <c r="S10" s="5">
        <v>4.1339519999999998E-2</v>
      </c>
      <c r="T10" s="5">
        <v>4.1283432000000002E-2</v>
      </c>
    </row>
    <row r="11" spans="1:20" x14ac:dyDescent="0.25">
      <c r="M11" s="5">
        <v>4.5550148999999998E-2</v>
      </c>
      <c r="N11" s="5">
        <v>4.5443698999999997E-2</v>
      </c>
      <c r="O11" s="5">
        <v>4.5377102000000002E-2</v>
      </c>
      <c r="P11" s="5">
        <v>4.5608825999999998E-2</v>
      </c>
      <c r="Q11" s="5">
        <v>4.5470916E-2</v>
      </c>
      <c r="R11" s="5">
        <v>4.5559015000000001E-2</v>
      </c>
      <c r="S11" s="5">
        <v>4.5512863000000001E-2</v>
      </c>
      <c r="T11" s="5">
        <v>4.5396559000000003E-2</v>
      </c>
    </row>
    <row r="12" spans="1:20" x14ac:dyDescent="0.25">
      <c r="A12" s="4" t="s">
        <v>2</v>
      </c>
      <c r="B12" s="4"/>
      <c r="C12" s="4"/>
      <c r="D12" s="4"/>
      <c r="E12" s="4"/>
      <c r="F12" s="4"/>
      <c r="G12" s="4"/>
      <c r="H12" s="4"/>
      <c r="I12" s="4"/>
      <c r="M12" s="5">
        <v>4.7938927999999999E-2</v>
      </c>
      <c r="N12" s="5">
        <v>4.7806762000000003E-2</v>
      </c>
      <c r="O12" s="5">
        <v>4.7828294E-2</v>
      </c>
      <c r="P12" s="5">
        <v>4.7889393000000002E-2</v>
      </c>
      <c r="Q12" s="5">
        <v>4.7811590000000001E-2</v>
      </c>
      <c r="R12" s="5">
        <v>4.7953102999999997E-2</v>
      </c>
      <c r="S12" s="5">
        <v>4.7797422999999999E-2</v>
      </c>
      <c r="T12" s="5">
        <v>4.7794666E-2</v>
      </c>
    </row>
    <row r="13" spans="1:20" x14ac:dyDescent="0.25">
      <c r="A13" t="s">
        <v>1</v>
      </c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  <c r="M13" s="5">
        <v>4.8385723999999998E-2</v>
      </c>
      <c r="N13" s="5">
        <v>4.8330642E-2</v>
      </c>
      <c r="O13" s="5">
        <v>4.833585E-2</v>
      </c>
      <c r="P13" s="5">
        <v>4.8378833000000003E-2</v>
      </c>
      <c r="Q13" s="5">
        <v>4.8218842999999997E-2</v>
      </c>
      <c r="R13" s="5">
        <v>4.8402454999999997E-2</v>
      </c>
      <c r="S13" s="5">
        <v>4.8116259000000002E-2</v>
      </c>
      <c r="T13" s="5">
        <v>4.8199624000000003E-2</v>
      </c>
    </row>
    <row r="14" spans="1:20" x14ac:dyDescent="0.25">
      <c r="A14">
        <v>50</v>
      </c>
      <c r="B14" s="1">
        <f>M9</f>
        <v>3.0131411E-2</v>
      </c>
      <c r="C14" s="1">
        <f t="shared" ref="C14:I21" si="2">N9</f>
        <v>3.0141085000000001E-2</v>
      </c>
      <c r="D14" s="1">
        <f t="shared" si="2"/>
        <v>2.9945295E-2</v>
      </c>
      <c r="E14" s="1">
        <f t="shared" si="2"/>
        <v>3.0340947E-2</v>
      </c>
      <c r="F14" s="1">
        <f t="shared" si="2"/>
        <v>3.0025737E-2</v>
      </c>
      <c r="G14" s="1">
        <f t="shared" si="2"/>
        <v>3.019179E-2</v>
      </c>
      <c r="H14" s="1">
        <f t="shared" si="2"/>
        <v>2.9763161999999999E-2</v>
      </c>
      <c r="I14" s="1">
        <f t="shared" si="2"/>
        <v>2.9904217E-2</v>
      </c>
      <c r="M14" s="5">
        <v>4.8007142000000003E-2</v>
      </c>
      <c r="N14" s="5">
        <v>4.8134532000000001E-2</v>
      </c>
      <c r="O14" s="5">
        <v>4.8046242000000003E-2</v>
      </c>
      <c r="P14" s="5">
        <v>4.8153824999999997E-2</v>
      </c>
      <c r="Q14" s="5">
        <v>4.7803231000000002E-2</v>
      </c>
      <c r="R14" s="5">
        <v>4.7988899000000002E-2</v>
      </c>
      <c r="S14" s="5">
        <v>4.7696412000000001E-2</v>
      </c>
      <c r="T14" s="5">
        <v>4.7777451999999998E-2</v>
      </c>
    </row>
    <row r="15" spans="1:20" x14ac:dyDescent="0.25">
      <c r="A15">
        <v>60</v>
      </c>
      <c r="B15" s="1">
        <f t="shared" ref="B15:B21" si="3">M10</f>
        <v>4.1457887999999998E-2</v>
      </c>
      <c r="C15" s="1">
        <f t="shared" si="2"/>
        <v>4.1428588000000002E-2</v>
      </c>
      <c r="D15" s="1">
        <f t="shared" si="2"/>
        <v>4.1284281999999999E-2</v>
      </c>
      <c r="E15" s="1">
        <f t="shared" si="2"/>
        <v>4.1602548000000003E-2</v>
      </c>
      <c r="F15" s="1">
        <f t="shared" si="2"/>
        <v>4.1383247999999997E-2</v>
      </c>
      <c r="G15" s="1">
        <f t="shared" si="2"/>
        <v>4.1467591999999998E-2</v>
      </c>
      <c r="H15" s="1">
        <f t="shared" si="2"/>
        <v>4.1339519999999998E-2</v>
      </c>
      <c r="I15" s="1">
        <f t="shared" si="2"/>
        <v>4.1283432000000002E-2</v>
      </c>
      <c r="M15" s="5">
        <v>4.5826089E-2</v>
      </c>
      <c r="N15" s="5">
        <v>4.6176257999999998E-2</v>
      </c>
      <c r="O15" s="5">
        <v>4.6027235999999999E-2</v>
      </c>
      <c r="P15" s="5">
        <v>4.6220891E-2</v>
      </c>
      <c r="Q15" s="5">
        <v>4.5628961000000003E-2</v>
      </c>
      <c r="R15" s="5">
        <v>4.5809172000000002E-2</v>
      </c>
      <c r="S15" s="5">
        <v>4.5618393E-2</v>
      </c>
      <c r="T15" s="5">
        <v>4.5613542E-2</v>
      </c>
    </row>
    <row r="16" spans="1:20" x14ac:dyDescent="0.25">
      <c r="A16">
        <v>70</v>
      </c>
      <c r="B16" s="1">
        <f t="shared" si="3"/>
        <v>4.5550148999999998E-2</v>
      </c>
      <c r="C16" s="1">
        <f t="shared" si="2"/>
        <v>4.5443698999999997E-2</v>
      </c>
      <c r="D16" s="1">
        <f t="shared" si="2"/>
        <v>4.5377102000000002E-2</v>
      </c>
      <c r="E16" s="1">
        <f t="shared" si="2"/>
        <v>4.5608825999999998E-2</v>
      </c>
      <c r="F16" s="1">
        <f t="shared" si="2"/>
        <v>4.5470916E-2</v>
      </c>
      <c r="G16" s="1">
        <f t="shared" si="2"/>
        <v>4.5559015000000001E-2</v>
      </c>
      <c r="H16" s="1">
        <f t="shared" si="2"/>
        <v>4.5512863000000001E-2</v>
      </c>
      <c r="I16" s="1">
        <f t="shared" si="2"/>
        <v>4.5396559000000003E-2</v>
      </c>
      <c r="M16" s="5">
        <v>3.7037548000000003E-2</v>
      </c>
      <c r="N16" s="5">
        <v>3.7772853000000002E-2</v>
      </c>
      <c r="O16" s="5">
        <v>3.7604138000000002E-2</v>
      </c>
      <c r="P16" s="5">
        <v>3.7933670000000003E-2</v>
      </c>
      <c r="Q16" s="5">
        <v>3.6930340999999998E-2</v>
      </c>
      <c r="R16" s="5">
        <v>3.7049789E-2</v>
      </c>
      <c r="S16" s="5">
        <v>3.7182234000000002E-2</v>
      </c>
      <c r="T16" s="5">
        <v>3.6972597000000003E-2</v>
      </c>
    </row>
    <row r="17" spans="1:20" x14ac:dyDescent="0.25">
      <c r="A17">
        <v>100</v>
      </c>
      <c r="B17" s="1">
        <f t="shared" si="3"/>
        <v>4.7938927999999999E-2</v>
      </c>
      <c r="C17" s="1">
        <f t="shared" si="2"/>
        <v>4.7806762000000003E-2</v>
      </c>
      <c r="D17" s="1">
        <f t="shared" si="2"/>
        <v>4.7828294E-2</v>
      </c>
      <c r="E17" s="1">
        <f t="shared" si="2"/>
        <v>4.7889393000000002E-2</v>
      </c>
      <c r="F17" s="1">
        <f t="shared" si="2"/>
        <v>4.7811590000000001E-2</v>
      </c>
      <c r="G17" s="1">
        <f t="shared" si="2"/>
        <v>4.7953102999999997E-2</v>
      </c>
      <c r="H17" s="1">
        <f t="shared" si="2"/>
        <v>4.7797422999999999E-2</v>
      </c>
      <c r="I17" s="1">
        <f t="shared" si="2"/>
        <v>4.7794666E-2</v>
      </c>
      <c r="M17" s="5">
        <v>1.0490151E-2</v>
      </c>
      <c r="N17" s="5">
        <v>1.0480651000000001E-2</v>
      </c>
      <c r="O17" s="5">
        <v>1.0506338E-2</v>
      </c>
      <c r="P17" s="5">
        <v>1.0485833E-2</v>
      </c>
      <c r="Q17" s="5">
        <v>1.0479697E-2</v>
      </c>
      <c r="R17" s="5">
        <v>1.0509965E-2</v>
      </c>
      <c r="S17" s="5">
        <v>1.0383121E-2</v>
      </c>
      <c r="T17" s="5">
        <v>1.0453898999999999E-2</v>
      </c>
    </row>
    <row r="18" spans="1:20" x14ac:dyDescent="0.25">
      <c r="A18">
        <v>140</v>
      </c>
      <c r="B18" s="1">
        <f t="shared" si="3"/>
        <v>4.8385723999999998E-2</v>
      </c>
      <c r="C18" s="1">
        <f t="shared" si="2"/>
        <v>4.8330642E-2</v>
      </c>
      <c r="D18" s="1">
        <f t="shared" si="2"/>
        <v>4.833585E-2</v>
      </c>
      <c r="E18" s="1">
        <f t="shared" si="2"/>
        <v>4.8378833000000003E-2</v>
      </c>
      <c r="F18" s="1">
        <f t="shared" si="2"/>
        <v>4.8218842999999997E-2</v>
      </c>
      <c r="G18" s="1">
        <f t="shared" si="2"/>
        <v>4.8402454999999997E-2</v>
      </c>
      <c r="H18" s="1">
        <f t="shared" si="2"/>
        <v>4.8116259000000002E-2</v>
      </c>
      <c r="I18" s="1">
        <f t="shared" si="2"/>
        <v>4.8199624000000003E-2</v>
      </c>
      <c r="M18" s="5">
        <v>1.0123907999999999E-2</v>
      </c>
      <c r="N18" s="5">
        <v>1.0124431999999999E-2</v>
      </c>
      <c r="O18" s="5">
        <v>1.0119766000000001E-2</v>
      </c>
      <c r="P18" s="5">
        <v>1.0137551999999999E-2</v>
      </c>
      <c r="Q18" s="5">
        <v>1.009993E-2</v>
      </c>
      <c r="R18" s="5">
        <v>1.0151504E-2</v>
      </c>
      <c r="S18" s="5">
        <v>9.9624929999999993E-3</v>
      </c>
      <c r="T18" s="5">
        <v>1.0060243E-2</v>
      </c>
    </row>
    <row r="19" spans="1:20" x14ac:dyDescent="0.25">
      <c r="A19">
        <v>180</v>
      </c>
      <c r="B19" s="1">
        <f t="shared" si="3"/>
        <v>4.8007142000000003E-2</v>
      </c>
      <c r="C19" s="1">
        <f t="shared" si="2"/>
        <v>4.8134532000000001E-2</v>
      </c>
      <c r="D19" s="1">
        <f t="shared" si="2"/>
        <v>4.8046242000000003E-2</v>
      </c>
      <c r="E19" s="1">
        <f t="shared" si="2"/>
        <v>4.8153824999999997E-2</v>
      </c>
      <c r="F19" s="1">
        <f t="shared" si="2"/>
        <v>4.7803231000000002E-2</v>
      </c>
      <c r="G19" s="1">
        <f t="shared" si="2"/>
        <v>4.7988899000000002E-2</v>
      </c>
      <c r="H19" s="1">
        <f t="shared" si="2"/>
        <v>4.7696412000000001E-2</v>
      </c>
      <c r="I19" s="1">
        <f t="shared" si="2"/>
        <v>4.7777451999999998E-2</v>
      </c>
      <c r="M19" s="5">
        <v>1.0066887E-2</v>
      </c>
      <c r="N19" s="5">
        <v>1.0076791999999999E-2</v>
      </c>
      <c r="O19" s="5">
        <v>1.0065421E-2</v>
      </c>
      <c r="P19" s="5">
        <v>1.0089071E-2</v>
      </c>
      <c r="Q19" s="5">
        <v>1.0036257E-2</v>
      </c>
      <c r="R19" s="5">
        <v>1.0085612000000001E-2</v>
      </c>
      <c r="S19" s="5">
        <v>9.9118729999999999E-3</v>
      </c>
      <c r="T19" s="5">
        <v>1.0002407E-2</v>
      </c>
    </row>
    <row r="20" spans="1:20" x14ac:dyDescent="0.25">
      <c r="A20">
        <v>210</v>
      </c>
      <c r="B20" s="1">
        <f t="shared" si="3"/>
        <v>4.5826089E-2</v>
      </c>
      <c r="C20" s="1">
        <f t="shared" si="2"/>
        <v>4.6176257999999998E-2</v>
      </c>
      <c r="D20" s="1">
        <f t="shared" si="2"/>
        <v>4.6027235999999999E-2</v>
      </c>
      <c r="E20" s="1">
        <f t="shared" si="2"/>
        <v>4.6220891E-2</v>
      </c>
      <c r="F20" s="1">
        <f t="shared" si="2"/>
        <v>4.5628961000000003E-2</v>
      </c>
      <c r="G20" s="1">
        <f t="shared" si="2"/>
        <v>4.5809172000000002E-2</v>
      </c>
      <c r="H20" s="1">
        <f t="shared" si="2"/>
        <v>4.5618393E-2</v>
      </c>
      <c r="I20" s="1">
        <f t="shared" si="2"/>
        <v>4.5613542E-2</v>
      </c>
      <c r="M20" s="5">
        <v>1.0285987999999999E-2</v>
      </c>
      <c r="N20" s="5">
        <v>1.0284677000000001E-2</v>
      </c>
      <c r="O20" s="5">
        <v>1.0279755999999999E-2</v>
      </c>
      <c r="P20" s="5">
        <v>1.0293392E-2</v>
      </c>
      <c r="Q20" s="5">
        <v>1.0249882E-2</v>
      </c>
      <c r="R20" s="5">
        <v>1.0297203E-2</v>
      </c>
      <c r="S20" s="5">
        <v>1.0183467999999999E-2</v>
      </c>
      <c r="T20" s="5">
        <v>1.0238315E-2</v>
      </c>
    </row>
    <row r="21" spans="1:20" x14ac:dyDescent="0.25">
      <c r="A21">
        <v>250</v>
      </c>
      <c r="B21" s="1">
        <f t="shared" si="3"/>
        <v>3.7037548000000003E-2</v>
      </c>
      <c r="C21" s="1">
        <f t="shared" si="2"/>
        <v>3.7772853000000002E-2</v>
      </c>
      <c r="D21" s="1">
        <f t="shared" si="2"/>
        <v>3.7604138000000002E-2</v>
      </c>
      <c r="E21" s="1">
        <f t="shared" si="2"/>
        <v>3.7933670000000003E-2</v>
      </c>
      <c r="F21" s="1">
        <f t="shared" si="2"/>
        <v>3.6930340999999998E-2</v>
      </c>
      <c r="G21" s="1">
        <f t="shared" si="2"/>
        <v>3.7049789E-2</v>
      </c>
      <c r="H21" s="1">
        <f t="shared" si="2"/>
        <v>3.7182234000000002E-2</v>
      </c>
      <c r="I21" s="1">
        <f t="shared" si="2"/>
        <v>3.6972597000000003E-2</v>
      </c>
      <c r="M21" s="5">
        <v>1.0495918E-2</v>
      </c>
      <c r="N21" s="5">
        <v>1.0479209999999999E-2</v>
      </c>
      <c r="O21" s="5">
        <v>1.0490681999999999E-2</v>
      </c>
      <c r="P21" s="5">
        <v>1.0485810999999999E-2</v>
      </c>
      <c r="Q21" s="5">
        <v>1.0462079000000001E-2</v>
      </c>
      <c r="R21" s="5">
        <v>1.0497101999999999E-2</v>
      </c>
      <c r="S21" s="5">
        <v>1.0434504000000001E-2</v>
      </c>
      <c r="T21" s="5">
        <v>1.0455389000000001E-2</v>
      </c>
    </row>
    <row r="22" spans="1:20" x14ac:dyDescent="0.25">
      <c r="M22" s="5">
        <v>1.0584085999999999E-2</v>
      </c>
      <c r="N22" s="5">
        <v>1.05632E-2</v>
      </c>
      <c r="O22" s="5">
        <v>1.0580806E-2</v>
      </c>
      <c r="P22" s="5">
        <v>1.0572813E-2</v>
      </c>
      <c r="Q22" s="5">
        <v>1.0550011E-2</v>
      </c>
      <c r="R22" s="5">
        <v>1.0581893E-2</v>
      </c>
      <c r="S22" s="5">
        <v>1.0534942E-2</v>
      </c>
      <c r="T22" s="5">
        <v>1.0556335999999999E-2</v>
      </c>
    </row>
    <row r="23" spans="1:20" x14ac:dyDescent="0.25">
      <c r="A23" s="3" t="s">
        <v>3</v>
      </c>
      <c r="B23" s="3"/>
      <c r="C23" s="3"/>
      <c r="D23" s="3"/>
      <c r="E23" s="3"/>
      <c r="F23" s="3"/>
      <c r="G23" s="3"/>
      <c r="H23" s="3"/>
      <c r="I23" s="3"/>
      <c r="M23" s="5">
        <v>1.0614313E-2</v>
      </c>
      <c r="N23" s="5">
        <v>1.0590861999999999E-2</v>
      </c>
      <c r="O23" s="5">
        <v>1.0605112999999999E-2</v>
      </c>
      <c r="P23" s="5">
        <v>1.059566E-2</v>
      </c>
      <c r="Q23" s="5">
        <v>1.0572536E-2</v>
      </c>
      <c r="R23" s="5">
        <v>1.0601502E-2</v>
      </c>
      <c r="S23" s="5">
        <v>1.05685E-2</v>
      </c>
      <c r="T23" s="5">
        <v>1.0590196E-2</v>
      </c>
    </row>
    <row r="24" spans="1:20" x14ac:dyDescent="0.25">
      <c r="A24" t="s">
        <v>1</v>
      </c>
      <c r="B24">
        <v>1</v>
      </c>
      <c r="C24">
        <v>2</v>
      </c>
      <c r="D24">
        <v>3</v>
      </c>
      <c r="E24">
        <v>4</v>
      </c>
      <c r="F24">
        <v>5</v>
      </c>
      <c r="G24">
        <v>6</v>
      </c>
      <c r="H24">
        <v>7</v>
      </c>
      <c r="I24">
        <v>8</v>
      </c>
      <c r="M24" s="5">
        <v>1.0625847000000001E-2</v>
      </c>
      <c r="N24" s="5">
        <v>1.0599020000000001E-2</v>
      </c>
      <c r="O24" s="5">
        <v>1.0627653000000001E-2</v>
      </c>
      <c r="P24" s="5">
        <v>1.0614989999999999E-2</v>
      </c>
      <c r="Q24" s="5">
        <v>1.0592413E-2</v>
      </c>
      <c r="R24" s="5">
        <v>1.0617784E-2</v>
      </c>
      <c r="S24" s="5">
        <v>1.0589582E-2</v>
      </c>
      <c r="T24" s="5">
        <v>1.061075E-2</v>
      </c>
    </row>
    <row r="25" spans="1:20" x14ac:dyDescent="0.25">
      <c r="A25">
        <v>50</v>
      </c>
      <c r="B25" s="2">
        <f>20*LOG(((B14/5)*B$6)/(B3*(B$17/5)), 10)</f>
        <v>-4.2025540019744279</v>
      </c>
      <c r="C25" s="2">
        <f t="shared" ref="C25:I25" si="4">20*LOG(((C14/5)*C$6)/(C3*(C$17/5)), 10)</f>
        <v>-4.1763758291177808</v>
      </c>
      <c r="D25" s="2">
        <f t="shared" si="4"/>
        <v>-4.2602087607149066</v>
      </c>
      <c r="E25" s="2">
        <f t="shared" si="4"/>
        <v>-4.1180044634381483</v>
      </c>
      <c r="F25" s="2">
        <f t="shared" si="4"/>
        <v>-4.2209318603192862</v>
      </c>
      <c r="G25" s="2">
        <f t="shared" si="4"/>
        <v>-4.2017867448520487</v>
      </c>
      <c r="H25" s="2">
        <f t="shared" si="4"/>
        <v>-4.2844860465792642</v>
      </c>
      <c r="I25" s="2">
        <f t="shared" si="4"/>
        <v>-4.246781737342471</v>
      </c>
      <c r="M25" s="5">
        <v>2.9746196999999999E-2</v>
      </c>
      <c r="N25" s="5">
        <v>2.9754082000000001E-2</v>
      </c>
      <c r="O25" s="5">
        <v>2.9554103000000002E-2</v>
      </c>
      <c r="P25" s="5">
        <v>2.9956720999999999E-2</v>
      </c>
      <c r="Q25" s="5">
        <v>2.9595379000000002E-2</v>
      </c>
      <c r="R25" s="5">
        <v>2.9812162999999999E-2</v>
      </c>
      <c r="S25" s="5">
        <v>2.9406972E-2</v>
      </c>
      <c r="T25" s="5">
        <v>2.9516153E-2</v>
      </c>
    </row>
    <row r="26" spans="1:20" x14ac:dyDescent="0.25">
      <c r="A26">
        <v>60</v>
      </c>
      <c r="B26" s="2">
        <f t="shared" ref="B26:I32" si="5">20*LOG(((B15/5)*B$6)/(B4*(B$17/5)), 10)</f>
        <v>-1.1202895677274234</v>
      </c>
      <c r="C26" s="2">
        <f t="shared" si="5"/>
        <v>-1.1143512713047257</v>
      </c>
      <c r="D26" s="2">
        <f t="shared" si="5"/>
        <v>-1.1514217550835213</v>
      </c>
      <c r="E26" s="2">
        <f t="shared" si="5"/>
        <v>-1.0800226133448465</v>
      </c>
      <c r="F26" s="2">
        <f t="shared" si="5"/>
        <v>-1.1157351016947812</v>
      </c>
      <c r="G26" s="2">
        <f t="shared" si="5"/>
        <v>-1.1412911029320096</v>
      </c>
      <c r="H26" s="2">
        <f t="shared" si="5"/>
        <v>-1.0706559839883809</v>
      </c>
      <c r="I26" s="2">
        <f t="shared" si="5"/>
        <v>-1.1171474932874206</v>
      </c>
      <c r="M26" s="5">
        <v>4.0996376000000001E-2</v>
      </c>
      <c r="N26" s="5">
        <v>4.0933046000000001E-2</v>
      </c>
      <c r="O26" s="5">
        <v>4.0783867000000001E-2</v>
      </c>
      <c r="P26" s="5">
        <v>4.1091435000000003E-2</v>
      </c>
      <c r="Q26" s="5">
        <v>4.0832184000000001E-2</v>
      </c>
      <c r="R26" s="5">
        <v>4.1040249000000001E-2</v>
      </c>
      <c r="S26" s="5">
        <v>4.0866199999999998E-2</v>
      </c>
      <c r="T26" s="5">
        <v>4.0790203999999997E-2</v>
      </c>
    </row>
    <row r="27" spans="1:20" x14ac:dyDescent="0.25">
      <c r="A27">
        <v>70</v>
      </c>
      <c r="B27" s="2">
        <f t="shared" si="5"/>
        <v>-0.25711251968013432</v>
      </c>
      <c r="C27" s="2">
        <f t="shared" si="5"/>
        <v>-0.26505867594116089</v>
      </c>
      <c r="D27" s="2">
        <f t="shared" si="5"/>
        <v>-0.2729850661789911</v>
      </c>
      <c r="E27" s="2">
        <f t="shared" si="5"/>
        <v>-0.24032759032475609</v>
      </c>
      <c r="F27" s="2">
        <f t="shared" si="5"/>
        <v>-0.2477533565370601</v>
      </c>
      <c r="G27" s="2">
        <f t="shared" si="5"/>
        <v>-0.27506587749332667</v>
      </c>
      <c r="H27" s="2">
        <f t="shared" si="5"/>
        <v>-0.18546476424785072</v>
      </c>
      <c r="I27" s="2">
        <f t="shared" si="5"/>
        <v>-0.24593625811116462</v>
      </c>
      <c r="M27" s="5">
        <v>4.5094627999999998E-2</v>
      </c>
      <c r="N27" s="5">
        <v>4.4950824E-2</v>
      </c>
      <c r="O27" s="5">
        <v>4.4891371999999999E-2</v>
      </c>
      <c r="P27" s="5">
        <v>4.5112885999999998E-2</v>
      </c>
      <c r="Q27" s="5">
        <v>4.4922706E-2</v>
      </c>
      <c r="R27" s="5">
        <v>4.5079052000000001E-2</v>
      </c>
      <c r="S27" s="5">
        <v>4.5038178999999998E-2</v>
      </c>
      <c r="T27" s="5">
        <v>4.4899902999999998E-2</v>
      </c>
    </row>
    <row r="28" spans="1:20" x14ac:dyDescent="0.25">
      <c r="A28">
        <v>100</v>
      </c>
      <c r="B28" s="2">
        <f t="shared" si="5"/>
        <v>0</v>
      </c>
      <c r="C28" s="2">
        <f t="shared" si="5"/>
        <v>0</v>
      </c>
      <c r="D28" s="2">
        <f t="shared" si="5"/>
        <v>0</v>
      </c>
      <c r="E28" s="2">
        <f t="shared" si="5"/>
        <v>0</v>
      </c>
      <c r="F28" s="2">
        <f t="shared" si="5"/>
        <v>0</v>
      </c>
      <c r="G28" s="2">
        <f t="shared" si="5"/>
        <v>0</v>
      </c>
      <c r="H28" s="2">
        <f t="shared" si="5"/>
        <v>0</v>
      </c>
      <c r="I28" s="2">
        <f t="shared" si="5"/>
        <v>0</v>
      </c>
      <c r="M28" s="5">
        <v>4.7583759000000003E-2</v>
      </c>
      <c r="N28" s="5">
        <v>4.7418310999999998E-2</v>
      </c>
      <c r="O28" s="5">
        <v>4.7459293E-2</v>
      </c>
      <c r="P28" s="5">
        <v>4.7510732E-2</v>
      </c>
      <c r="Q28" s="5">
        <v>4.7379698999999997E-2</v>
      </c>
      <c r="R28" s="5">
        <v>4.7577750000000002E-2</v>
      </c>
      <c r="S28" s="5">
        <v>4.7424830000000001E-2</v>
      </c>
      <c r="T28" s="5">
        <v>4.7401220000000001E-2</v>
      </c>
    </row>
    <row r="29" spans="1:20" x14ac:dyDescent="0.25">
      <c r="A29">
        <v>140</v>
      </c>
      <c r="B29" s="2">
        <f t="shared" si="5"/>
        <v>-9.4680790192493577E-2</v>
      </c>
      <c r="C29" s="2">
        <f t="shared" si="5"/>
        <v>-6.9285793523278461E-2</v>
      </c>
      <c r="D29" s="2">
        <f t="shared" si="5"/>
        <v>-8.4983434919450845E-2</v>
      </c>
      <c r="E29" s="2">
        <f t="shared" si="5"/>
        <v>-7.1228004450633681E-2</v>
      </c>
      <c r="F29" s="2">
        <f t="shared" si="5"/>
        <v>-9.7844611055397018E-2</v>
      </c>
      <c r="G29" s="2">
        <f t="shared" si="5"/>
        <v>-8.5078848239986002E-2</v>
      </c>
      <c r="H29" s="2">
        <f t="shared" si="5"/>
        <v>-0.14460889974642635</v>
      </c>
      <c r="I29" s="2">
        <f t="shared" si="5"/>
        <v>-0.11661013561123831</v>
      </c>
      <c r="M29" s="5">
        <v>4.8276599000000003E-2</v>
      </c>
      <c r="N29" s="5">
        <v>4.8211731000000001E-2</v>
      </c>
      <c r="O29" s="5">
        <v>4.8183723999999997E-2</v>
      </c>
      <c r="P29" s="5">
        <v>4.8214551000000001E-2</v>
      </c>
      <c r="Q29" s="5">
        <v>4.8033926999999997E-2</v>
      </c>
      <c r="R29" s="5">
        <v>4.8261302999999998E-2</v>
      </c>
      <c r="S29" s="5">
        <v>4.7958731999999997E-2</v>
      </c>
      <c r="T29" s="5">
        <v>4.8058986999999997E-2</v>
      </c>
    </row>
    <row r="30" spans="1:20" x14ac:dyDescent="0.25">
      <c r="A30">
        <v>180</v>
      </c>
      <c r="B30" s="2">
        <f t="shared" si="5"/>
        <v>-0.23109919524005954</v>
      </c>
      <c r="C30" s="2">
        <f t="shared" si="5"/>
        <v>-0.17611078016323506</v>
      </c>
      <c r="D30" s="2">
        <f t="shared" si="5"/>
        <v>-0.21614863936346745</v>
      </c>
      <c r="E30" s="2">
        <f t="shared" si="5"/>
        <v>-0.18333009586596449</v>
      </c>
      <c r="F30" s="2">
        <f t="shared" si="5"/>
        <v>-0.24157317380362847</v>
      </c>
      <c r="G30" s="2">
        <f t="shared" si="5"/>
        <v>-0.23082870916706352</v>
      </c>
      <c r="H30" s="2">
        <f t="shared" si="5"/>
        <v>-0.31162802172725079</v>
      </c>
      <c r="I30" s="2">
        <f t="shared" si="5"/>
        <v>-0.27267304757943261</v>
      </c>
      <c r="M30" s="5">
        <v>4.8189270999999999E-2</v>
      </c>
      <c r="N30" s="5">
        <v>4.8318962999999999E-2</v>
      </c>
      <c r="O30" s="5">
        <v>4.8207859999999998E-2</v>
      </c>
      <c r="P30" s="5">
        <v>4.8289783000000003E-2</v>
      </c>
      <c r="Q30" s="5">
        <v>4.7948356999999997E-2</v>
      </c>
      <c r="R30" s="5">
        <v>4.8168800999999997E-2</v>
      </c>
      <c r="S30" s="5">
        <v>4.7867324000000003E-2</v>
      </c>
      <c r="T30" s="5">
        <v>4.7957743999999997E-2</v>
      </c>
    </row>
    <row r="31" spans="1:20" x14ac:dyDescent="0.25">
      <c r="A31">
        <v>210</v>
      </c>
      <c r="B31" s="2">
        <f t="shared" si="5"/>
        <v>-0.66286109965933926</v>
      </c>
      <c r="C31" s="2">
        <f t="shared" si="5"/>
        <v>-0.5610017418440636</v>
      </c>
      <c r="D31" s="2">
        <f t="shared" si="5"/>
        <v>-0.61172190009817462</v>
      </c>
      <c r="E31" s="2">
        <f t="shared" si="5"/>
        <v>-0.5525632898782632</v>
      </c>
      <c r="F31" s="2">
        <f t="shared" si="5"/>
        <v>-0.67316595555565306</v>
      </c>
      <c r="G31" s="2">
        <f t="shared" si="5"/>
        <v>-0.65966866251975298</v>
      </c>
      <c r="H31" s="2">
        <f t="shared" si="5"/>
        <v>-0.72577748016683374</v>
      </c>
      <c r="I31" s="2">
        <f t="shared" si="5"/>
        <v>-0.69503897859132935</v>
      </c>
      <c r="M31" s="5">
        <v>4.6276849000000002E-2</v>
      </c>
      <c r="N31" s="5">
        <v>4.6639359999999998E-2</v>
      </c>
      <c r="O31" s="5">
        <v>4.6467979E-2</v>
      </c>
      <c r="P31" s="5">
        <v>4.6619814000000002E-2</v>
      </c>
      <c r="Q31" s="5">
        <v>4.6057787000000003E-2</v>
      </c>
      <c r="R31" s="5">
        <v>4.6232268E-2</v>
      </c>
      <c r="S31" s="5">
        <v>4.6032666999999999E-2</v>
      </c>
      <c r="T31" s="5">
        <v>4.6071521999999997E-2</v>
      </c>
    </row>
    <row r="32" spans="1:20" x14ac:dyDescent="0.25">
      <c r="A32">
        <v>250</v>
      </c>
      <c r="B32" s="2">
        <f t="shared" si="5"/>
        <v>-2.5242473331410418</v>
      </c>
      <c r="C32" s="2">
        <f t="shared" si="5"/>
        <v>-2.3130518617768807</v>
      </c>
      <c r="D32" s="2">
        <f t="shared" si="5"/>
        <v>-2.3766055609320293</v>
      </c>
      <c r="E32" s="2">
        <f t="shared" si="5"/>
        <v>-2.2826585743394308</v>
      </c>
      <c r="F32" s="2">
        <f t="shared" si="5"/>
        <v>-2.5199374659004259</v>
      </c>
      <c r="G32" s="2">
        <f t="shared" si="5"/>
        <v>-2.5102073802655629</v>
      </c>
      <c r="H32" s="2">
        <f t="shared" si="5"/>
        <v>-2.5150158837645038</v>
      </c>
      <c r="I32" s="2">
        <f t="shared" si="5"/>
        <v>-2.5343827465081645</v>
      </c>
      <c r="M32" s="5">
        <v>3.773278E-2</v>
      </c>
      <c r="N32" s="5">
        <v>3.8503263000000003E-2</v>
      </c>
      <c r="O32" s="5">
        <v>3.8305044000000003E-2</v>
      </c>
      <c r="P32" s="5">
        <v>3.8606066000000001E-2</v>
      </c>
      <c r="Q32" s="5">
        <v>3.7645034000000001E-2</v>
      </c>
      <c r="R32" s="5">
        <v>3.7717618000000001E-2</v>
      </c>
      <c r="S32" s="5">
        <v>3.7844087999999998E-2</v>
      </c>
      <c r="T32" s="5">
        <v>3.7688381999999999E-2</v>
      </c>
    </row>
    <row r="35" spans="1:9" x14ac:dyDescent="0.25">
      <c r="A35" s="4" t="s">
        <v>4</v>
      </c>
      <c r="B35" s="4"/>
      <c r="C35" s="4"/>
      <c r="D35" s="4"/>
      <c r="E35" s="4"/>
      <c r="F35" s="4"/>
      <c r="G35" s="4"/>
      <c r="H35" s="4"/>
      <c r="I35" s="4"/>
    </row>
    <row r="36" spans="1:9" x14ac:dyDescent="0.25">
      <c r="A36" t="s">
        <v>5</v>
      </c>
      <c r="B36">
        <v>1</v>
      </c>
      <c r="C36">
        <v>2</v>
      </c>
      <c r="D36">
        <v>3</v>
      </c>
      <c r="E36">
        <v>4</v>
      </c>
      <c r="F36">
        <v>5</v>
      </c>
      <c r="G36">
        <v>6</v>
      </c>
      <c r="H36">
        <v>7</v>
      </c>
      <c r="I36">
        <v>8</v>
      </c>
    </row>
    <row r="37" spans="1:9" x14ac:dyDescent="0.25">
      <c r="A37">
        <v>50</v>
      </c>
      <c r="B37" s="1">
        <f t="shared" ref="B37:I44" si="6">M17</f>
        <v>1.0490151E-2</v>
      </c>
      <c r="C37" s="1">
        <f t="shared" si="6"/>
        <v>1.0480651000000001E-2</v>
      </c>
      <c r="D37" s="1">
        <f t="shared" si="6"/>
        <v>1.0506338E-2</v>
      </c>
      <c r="E37" s="1">
        <f t="shared" si="6"/>
        <v>1.0485833E-2</v>
      </c>
      <c r="F37" s="1">
        <f t="shared" si="6"/>
        <v>1.0479697E-2</v>
      </c>
      <c r="G37" s="1">
        <f t="shared" si="6"/>
        <v>1.0509965E-2</v>
      </c>
      <c r="H37" s="1">
        <f t="shared" si="6"/>
        <v>1.0383121E-2</v>
      </c>
      <c r="I37" s="1">
        <f t="shared" si="6"/>
        <v>1.0453898999999999E-2</v>
      </c>
    </row>
    <row r="38" spans="1:9" x14ac:dyDescent="0.25">
      <c r="A38">
        <v>60</v>
      </c>
      <c r="B38" s="1">
        <f t="shared" si="6"/>
        <v>1.0123907999999999E-2</v>
      </c>
      <c r="C38" s="1">
        <f t="shared" si="6"/>
        <v>1.0124431999999999E-2</v>
      </c>
      <c r="D38" s="1">
        <f t="shared" si="6"/>
        <v>1.0119766000000001E-2</v>
      </c>
      <c r="E38" s="1">
        <f t="shared" si="6"/>
        <v>1.0137551999999999E-2</v>
      </c>
      <c r="F38" s="1">
        <f t="shared" si="6"/>
        <v>1.009993E-2</v>
      </c>
      <c r="G38" s="1">
        <f t="shared" si="6"/>
        <v>1.0151504E-2</v>
      </c>
      <c r="H38" s="1">
        <f t="shared" si="6"/>
        <v>9.9624929999999993E-3</v>
      </c>
      <c r="I38" s="1">
        <f t="shared" si="6"/>
        <v>1.0060243E-2</v>
      </c>
    </row>
    <row r="39" spans="1:9" x14ac:dyDescent="0.25">
      <c r="A39">
        <v>70</v>
      </c>
      <c r="B39" s="1">
        <f t="shared" si="6"/>
        <v>1.0066887E-2</v>
      </c>
      <c r="C39" s="1">
        <f t="shared" si="6"/>
        <v>1.0076791999999999E-2</v>
      </c>
      <c r="D39" s="1">
        <f t="shared" si="6"/>
        <v>1.0065421E-2</v>
      </c>
      <c r="E39" s="1">
        <f t="shared" si="6"/>
        <v>1.0089071E-2</v>
      </c>
      <c r="F39" s="1">
        <f t="shared" si="6"/>
        <v>1.0036257E-2</v>
      </c>
      <c r="G39" s="1">
        <f t="shared" si="6"/>
        <v>1.0085612000000001E-2</v>
      </c>
      <c r="H39" s="1">
        <f t="shared" si="6"/>
        <v>9.9118729999999999E-3</v>
      </c>
      <c r="I39" s="1">
        <f t="shared" si="6"/>
        <v>1.0002407E-2</v>
      </c>
    </row>
    <row r="40" spans="1:9" x14ac:dyDescent="0.25">
      <c r="A40">
        <v>100</v>
      </c>
      <c r="B40" s="1">
        <f t="shared" si="6"/>
        <v>1.0285987999999999E-2</v>
      </c>
      <c r="C40" s="1">
        <f t="shared" si="6"/>
        <v>1.0284677000000001E-2</v>
      </c>
      <c r="D40" s="1">
        <f t="shared" si="6"/>
        <v>1.0279755999999999E-2</v>
      </c>
      <c r="E40" s="1">
        <f t="shared" si="6"/>
        <v>1.0293392E-2</v>
      </c>
      <c r="F40" s="1">
        <f t="shared" si="6"/>
        <v>1.0249882E-2</v>
      </c>
      <c r="G40" s="1">
        <f t="shared" si="6"/>
        <v>1.0297203E-2</v>
      </c>
      <c r="H40" s="1">
        <f t="shared" si="6"/>
        <v>1.0183467999999999E-2</v>
      </c>
      <c r="I40" s="1">
        <f t="shared" si="6"/>
        <v>1.0238315E-2</v>
      </c>
    </row>
    <row r="41" spans="1:9" x14ac:dyDescent="0.25">
      <c r="A41">
        <v>140</v>
      </c>
      <c r="B41" s="1">
        <f t="shared" si="6"/>
        <v>1.0495918E-2</v>
      </c>
      <c r="C41" s="1">
        <f t="shared" si="6"/>
        <v>1.0479209999999999E-2</v>
      </c>
      <c r="D41" s="1">
        <f t="shared" si="6"/>
        <v>1.0490681999999999E-2</v>
      </c>
      <c r="E41" s="1">
        <f t="shared" si="6"/>
        <v>1.0485810999999999E-2</v>
      </c>
      <c r="F41" s="1">
        <f t="shared" si="6"/>
        <v>1.0462079000000001E-2</v>
      </c>
      <c r="G41" s="1">
        <f t="shared" si="6"/>
        <v>1.0497101999999999E-2</v>
      </c>
      <c r="H41" s="1">
        <f t="shared" si="6"/>
        <v>1.0434504000000001E-2</v>
      </c>
      <c r="I41" s="1">
        <f t="shared" si="6"/>
        <v>1.0455389000000001E-2</v>
      </c>
    </row>
    <row r="42" spans="1:9" x14ac:dyDescent="0.25">
      <c r="A42">
        <v>180</v>
      </c>
      <c r="B42" s="1">
        <f t="shared" si="6"/>
        <v>1.0584085999999999E-2</v>
      </c>
      <c r="C42" s="1">
        <f t="shared" si="6"/>
        <v>1.05632E-2</v>
      </c>
      <c r="D42" s="1">
        <f t="shared" si="6"/>
        <v>1.0580806E-2</v>
      </c>
      <c r="E42" s="1">
        <f t="shared" si="6"/>
        <v>1.0572813E-2</v>
      </c>
      <c r="F42" s="1">
        <f t="shared" si="6"/>
        <v>1.0550011E-2</v>
      </c>
      <c r="G42" s="1">
        <f t="shared" si="6"/>
        <v>1.0581893E-2</v>
      </c>
      <c r="H42" s="1">
        <f t="shared" si="6"/>
        <v>1.0534942E-2</v>
      </c>
      <c r="I42" s="1">
        <f t="shared" si="6"/>
        <v>1.0556335999999999E-2</v>
      </c>
    </row>
    <row r="43" spans="1:9" x14ac:dyDescent="0.25">
      <c r="A43">
        <v>210</v>
      </c>
      <c r="B43" s="1">
        <f t="shared" si="6"/>
        <v>1.0614313E-2</v>
      </c>
      <c r="C43" s="1">
        <f t="shared" si="6"/>
        <v>1.0590861999999999E-2</v>
      </c>
      <c r="D43" s="1">
        <f t="shared" si="6"/>
        <v>1.0605112999999999E-2</v>
      </c>
      <c r="E43" s="1">
        <f t="shared" si="6"/>
        <v>1.059566E-2</v>
      </c>
      <c r="F43" s="1">
        <f t="shared" si="6"/>
        <v>1.0572536E-2</v>
      </c>
      <c r="G43" s="1">
        <f t="shared" si="6"/>
        <v>1.0601502E-2</v>
      </c>
      <c r="H43" s="1">
        <f t="shared" si="6"/>
        <v>1.05685E-2</v>
      </c>
      <c r="I43" s="1">
        <f t="shared" si="6"/>
        <v>1.0590196E-2</v>
      </c>
    </row>
    <row r="44" spans="1:9" x14ac:dyDescent="0.25">
      <c r="A44">
        <v>250</v>
      </c>
      <c r="B44" s="1">
        <f t="shared" si="6"/>
        <v>1.0625847000000001E-2</v>
      </c>
      <c r="C44" s="1">
        <f t="shared" si="6"/>
        <v>1.0599020000000001E-2</v>
      </c>
      <c r="D44" s="1">
        <f t="shared" si="6"/>
        <v>1.0627653000000001E-2</v>
      </c>
      <c r="E44" s="1">
        <f t="shared" si="6"/>
        <v>1.0614989999999999E-2</v>
      </c>
      <c r="F44" s="1">
        <f t="shared" si="6"/>
        <v>1.0592413E-2</v>
      </c>
      <c r="G44" s="1">
        <f t="shared" si="6"/>
        <v>1.0617784E-2</v>
      </c>
      <c r="H44" s="1">
        <f t="shared" si="6"/>
        <v>1.0589582E-2</v>
      </c>
      <c r="I44" s="1">
        <f t="shared" si="6"/>
        <v>1.061075E-2</v>
      </c>
    </row>
    <row r="46" spans="1:9" x14ac:dyDescent="0.25">
      <c r="A46" s="4" t="s">
        <v>6</v>
      </c>
      <c r="B46" s="4"/>
      <c r="C46" s="4"/>
      <c r="D46" s="4"/>
      <c r="E46" s="4"/>
      <c r="F46" s="4"/>
      <c r="G46" s="4"/>
      <c r="H46" s="4"/>
      <c r="I46" s="4"/>
    </row>
    <row r="47" spans="1:9" x14ac:dyDescent="0.25">
      <c r="A47" t="s">
        <v>5</v>
      </c>
      <c r="B47">
        <v>1</v>
      </c>
      <c r="C47">
        <v>2</v>
      </c>
      <c r="D47">
        <v>3</v>
      </c>
      <c r="E47">
        <v>4</v>
      </c>
      <c r="F47">
        <v>5</v>
      </c>
      <c r="G47">
        <v>6</v>
      </c>
      <c r="H47">
        <v>7</v>
      </c>
      <c r="I47">
        <v>8</v>
      </c>
    </row>
    <row r="48" spans="1:9" x14ac:dyDescent="0.25">
      <c r="A48">
        <v>50</v>
      </c>
      <c r="B48" s="1">
        <f t="shared" ref="B48:I55" si="7">M25</f>
        <v>2.9746196999999999E-2</v>
      </c>
      <c r="C48" s="1">
        <f t="shared" si="7"/>
        <v>2.9754082000000001E-2</v>
      </c>
      <c r="D48" s="1">
        <f t="shared" si="7"/>
        <v>2.9554103000000002E-2</v>
      </c>
      <c r="E48" s="1">
        <f t="shared" si="7"/>
        <v>2.9956720999999999E-2</v>
      </c>
      <c r="F48" s="1">
        <f t="shared" si="7"/>
        <v>2.9595379000000002E-2</v>
      </c>
      <c r="G48" s="1">
        <f t="shared" si="7"/>
        <v>2.9812162999999999E-2</v>
      </c>
      <c r="H48" s="1">
        <f t="shared" si="7"/>
        <v>2.9406972E-2</v>
      </c>
      <c r="I48" s="1">
        <f t="shared" si="7"/>
        <v>2.9516153E-2</v>
      </c>
    </row>
    <row r="49" spans="1:9" x14ac:dyDescent="0.25">
      <c r="A49">
        <v>60</v>
      </c>
      <c r="B49" s="1">
        <f t="shared" si="7"/>
        <v>4.0996376000000001E-2</v>
      </c>
      <c r="C49" s="1">
        <f t="shared" si="7"/>
        <v>4.0933046000000001E-2</v>
      </c>
      <c r="D49" s="1">
        <f t="shared" si="7"/>
        <v>4.0783867000000001E-2</v>
      </c>
      <c r="E49" s="1">
        <f t="shared" si="7"/>
        <v>4.1091435000000003E-2</v>
      </c>
      <c r="F49" s="1">
        <f t="shared" si="7"/>
        <v>4.0832184000000001E-2</v>
      </c>
      <c r="G49" s="1">
        <f t="shared" si="7"/>
        <v>4.1040249000000001E-2</v>
      </c>
      <c r="H49" s="1">
        <f t="shared" si="7"/>
        <v>4.0866199999999998E-2</v>
      </c>
      <c r="I49" s="1">
        <f t="shared" si="7"/>
        <v>4.0790203999999997E-2</v>
      </c>
    </row>
    <row r="50" spans="1:9" x14ac:dyDescent="0.25">
      <c r="A50">
        <v>70</v>
      </c>
      <c r="B50" s="1">
        <f t="shared" si="7"/>
        <v>4.5094627999999998E-2</v>
      </c>
      <c r="C50" s="1">
        <f t="shared" si="7"/>
        <v>4.4950824E-2</v>
      </c>
      <c r="D50" s="1">
        <f t="shared" si="7"/>
        <v>4.4891371999999999E-2</v>
      </c>
      <c r="E50" s="1">
        <f t="shared" si="7"/>
        <v>4.5112885999999998E-2</v>
      </c>
      <c r="F50" s="1">
        <f t="shared" si="7"/>
        <v>4.4922706E-2</v>
      </c>
      <c r="G50" s="1">
        <f t="shared" si="7"/>
        <v>4.5079052000000001E-2</v>
      </c>
      <c r="H50" s="1">
        <f t="shared" si="7"/>
        <v>4.5038178999999998E-2</v>
      </c>
      <c r="I50" s="1">
        <f t="shared" si="7"/>
        <v>4.4899902999999998E-2</v>
      </c>
    </row>
    <row r="51" spans="1:9" x14ac:dyDescent="0.25">
      <c r="A51">
        <v>100</v>
      </c>
      <c r="B51" s="1">
        <f t="shared" si="7"/>
        <v>4.7583759000000003E-2</v>
      </c>
      <c r="C51" s="1">
        <f t="shared" si="7"/>
        <v>4.7418310999999998E-2</v>
      </c>
      <c r="D51" s="1">
        <f t="shared" si="7"/>
        <v>4.7459293E-2</v>
      </c>
      <c r="E51" s="1">
        <f t="shared" si="7"/>
        <v>4.7510732E-2</v>
      </c>
      <c r="F51" s="1">
        <f t="shared" si="7"/>
        <v>4.7379698999999997E-2</v>
      </c>
      <c r="G51" s="1">
        <f t="shared" si="7"/>
        <v>4.7577750000000002E-2</v>
      </c>
      <c r="H51" s="1">
        <f t="shared" si="7"/>
        <v>4.7424830000000001E-2</v>
      </c>
      <c r="I51" s="1">
        <f t="shared" si="7"/>
        <v>4.7401220000000001E-2</v>
      </c>
    </row>
    <row r="52" spans="1:9" x14ac:dyDescent="0.25">
      <c r="A52">
        <v>140</v>
      </c>
      <c r="B52" s="1">
        <f t="shared" si="7"/>
        <v>4.8276599000000003E-2</v>
      </c>
      <c r="C52" s="1">
        <f t="shared" si="7"/>
        <v>4.8211731000000001E-2</v>
      </c>
      <c r="D52" s="1">
        <f t="shared" si="7"/>
        <v>4.8183723999999997E-2</v>
      </c>
      <c r="E52" s="1">
        <f t="shared" si="7"/>
        <v>4.8214551000000001E-2</v>
      </c>
      <c r="F52" s="1">
        <f t="shared" si="7"/>
        <v>4.8033926999999997E-2</v>
      </c>
      <c r="G52" s="1">
        <f t="shared" si="7"/>
        <v>4.8261302999999998E-2</v>
      </c>
      <c r="H52" s="1">
        <f t="shared" si="7"/>
        <v>4.7958731999999997E-2</v>
      </c>
      <c r="I52" s="1">
        <f t="shared" si="7"/>
        <v>4.8058986999999997E-2</v>
      </c>
    </row>
    <row r="53" spans="1:9" x14ac:dyDescent="0.25">
      <c r="A53">
        <v>180</v>
      </c>
      <c r="B53" s="1">
        <f t="shared" si="7"/>
        <v>4.8189270999999999E-2</v>
      </c>
      <c r="C53" s="1">
        <f t="shared" si="7"/>
        <v>4.8318962999999999E-2</v>
      </c>
      <c r="D53" s="1">
        <f t="shared" si="7"/>
        <v>4.8207859999999998E-2</v>
      </c>
      <c r="E53" s="1">
        <f t="shared" si="7"/>
        <v>4.8289783000000003E-2</v>
      </c>
      <c r="F53" s="1">
        <f t="shared" si="7"/>
        <v>4.7948356999999997E-2</v>
      </c>
      <c r="G53" s="1">
        <f t="shared" si="7"/>
        <v>4.8168800999999997E-2</v>
      </c>
      <c r="H53" s="1">
        <f t="shared" si="7"/>
        <v>4.7867324000000003E-2</v>
      </c>
      <c r="I53" s="1">
        <f t="shared" si="7"/>
        <v>4.7957743999999997E-2</v>
      </c>
    </row>
    <row r="54" spans="1:9" x14ac:dyDescent="0.25">
      <c r="A54">
        <v>210</v>
      </c>
      <c r="B54" s="1">
        <f t="shared" si="7"/>
        <v>4.6276849000000002E-2</v>
      </c>
      <c r="C54" s="1">
        <f t="shared" si="7"/>
        <v>4.6639359999999998E-2</v>
      </c>
      <c r="D54" s="1">
        <f t="shared" si="7"/>
        <v>4.6467979E-2</v>
      </c>
      <c r="E54" s="1">
        <f t="shared" si="7"/>
        <v>4.6619814000000002E-2</v>
      </c>
      <c r="F54" s="1">
        <f t="shared" si="7"/>
        <v>4.6057787000000003E-2</v>
      </c>
      <c r="G54" s="1">
        <f t="shared" si="7"/>
        <v>4.6232268E-2</v>
      </c>
      <c r="H54" s="1">
        <f t="shared" si="7"/>
        <v>4.6032666999999999E-2</v>
      </c>
      <c r="I54" s="1">
        <f t="shared" si="7"/>
        <v>4.6071521999999997E-2</v>
      </c>
    </row>
    <row r="55" spans="1:9" x14ac:dyDescent="0.25">
      <c r="A55">
        <v>250</v>
      </c>
      <c r="B55" s="1">
        <f t="shared" si="7"/>
        <v>3.773278E-2</v>
      </c>
      <c r="C55" s="1">
        <f t="shared" si="7"/>
        <v>3.8503263000000003E-2</v>
      </c>
      <c r="D55" s="1">
        <f t="shared" si="7"/>
        <v>3.8305044000000003E-2</v>
      </c>
      <c r="E55" s="1">
        <f t="shared" si="7"/>
        <v>3.8606066000000001E-2</v>
      </c>
      <c r="F55" s="1">
        <f t="shared" si="7"/>
        <v>3.7645034000000001E-2</v>
      </c>
      <c r="G55" s="1">
        <f t="shared" si="7"/>
        <v>3.7717618000000001E-2</v>
      </c>
      <c r="H55" s="1">
        <f t="shared" si="7"/>
        <v>3.7844087999999998E-2</v>
      </c>
      <c r="I55" s="1">
        <f t="shared" si="7"/>
        <v>3.7688381999999999E-2</v>
      </c>
    </row>
    <row r="57" spans="1:9" x14ac:dyDescent="0.25">
      <c r="A57" s="3" t="s">
        <v>7</v>
      </c>
      <c r="B57" s="3"/>
      <c r="C57" s="3"/>
      <c r="D57" s="3"/>
      <c r="E57" s="3"/>
      <c r="F57" s="3"/>
      <c r="G57" s="3"/>
      <c r="H57" s="3"/>
      <c r="I57" s="3"/>
    </row>
    <row r="58" spans="1:9" x14ac:dyDescent="0.25">
      <c r="A58" t="s">
        <v>1</v>
      </c>
      <c r="B58">
        <v>1</v>
      </c>
      <c r="C58">
        <v>2</v>
      </c>
      <c r="D58">
        <v>3</v>
      </c>
      <c r="E58">
        <v>4</v>
      </c>
      <c r="F58">
        <v>5</v>
      </c>
      <c r="G58">
        <v>6</v>
      </c>
      <c r="H58">
        <v>7</v>
      </c>
      <c r="I58">
        <v>8</v>
      </c>
    </row>
    <row r="59" spans="1:9" x14ac:dyDescent="0.25">
      <c r="A59">
        <v>50</v>
      </c>
      <c r="B59" s="2">
        <f>20*LOG(((B48/5)*B$40)/(B37*(B$51/5)), 10)</f>
        <v>-4.2512604757775998</v>
      </c>
      <c r="C59" s="2">
        <f t="shared" ref="C59:I59" si="8">20*LOG(((C48/5)*C$40)/(C37*(C$51/5)), 10)</f>
        <v>-4.2119425558997037</v>
      </c>
      <c r="D59" s="2">
        <f t="shared" si="8"/>
        <v>-4.303440874323444</v>
      </c>
      <c r="E59" s="2">
        <f t="shared" si="8"/>
        <v>-4.1668374312319019</v>
      </c>
      <c r="F59" s="2">
        <f t="shared" si="8"/>
        <v>-4.2799650356324319</v>
      </c>
      <c r="G59" s="2">
        <f t="shared" si="8"/>
        <v>-4.2378481613927343</v>
      </c>
      <c r="H59" s="2">
        <f t="shared" si="8"/>
        <v>-4.319753736495028</v>
      </c>
      <c r="I59" s="2">
        <f t="shared" si="8"/>
        <v>-4.2955915856446421</v>
      </c>
    </row>
    <row r="60" spans="1:9" x14ac:dyDescent="0.25">
      <c r="A60">
        <v>60</v>
      </c>
      <c r="B60" s="2">
        <f>20*LOG(((B49/5)*B$40)/(B38*(B$51/5)), 10)</f>
        <v>-1.1563091239938286</v>
      </c>
      <c r="C60" s="2">
        <f t="shared" ref="B60:I66" si="9">20*LOG(((C49/5)*C$40)/(C38*(C$51/5)), 10)</f>
        <v>-1.1410405638778733</v>
      </c>
      <c r="D60" s="2">
        <f t="shared" si="9"/>
        <v>-1.1804105284525974</v>
      </c>
      <c r="E60" s="2">
        <f t="shared" si="9"/>
        <v>-1.1282999275693146</v>
      </c>
      <c r="F60" s="2">
        <f t="shared" si="9"/>
        <v>-1.1637837146774619</v>
      </c>
      <c r="G60" s="2">
        <f t="shared" si="9"/>
        <v>-1.1601005685389358</v>
      </c>
      <c r="H60" s="2">
        <f t="shared" si="9"/>
        <v>-1.1022770578239145</v>
      </c>
      <c r="I60" s="2">
        <f t="shared" si="9"/>
        <v>-1.152272520017745</v>
      </c>
    </row>
    <row r="61" spans="1:9" x14ac:dyDescent="0.25">
      <c r="A61">
        <v>70</v>
      </c>
      <c r="B61" s="2">
        <f t="shared" si="9"/>
        <v>-0.27966238012919686</v>
      </c>
      <c r="C61" s="2">
        <f t="shared" si="9"/>
        <v>-0.28680121624987681</v>
      </c>
      <c r="D61" s="2">
        <f t="shared" si="9"/>
        <v>-0.30015047276556456</v>
      </c>
      <c r="E61" s="2">
        <f t="shared" si="9"/>
        <v>-0.27567553490286822</v>
      </c>
      <c r="F61" s="2">
        <f t="shared" si="9"/>
        <v>-0.27958593233965273</v>
      </c>
      <c r="G61" s="2">
        <f t="shared" si="9"/>
        <v>-0.28824215183900626</v>
      </c>
      <c r="H61" s="2">
        <f t="shared" si="9"/>
        <v>-0.21369971867084728</v>
      </c>
      <c r="I61" s="2">
        <f t="shared" si="9"/>
        <v>-0.26840303284533251</v>
      </c>
    </row>
    <row r="62" spans="1:9" x14ac:dyDescent="0.25">
      <c r="A62">
        <v>100</v>
      </c>
      <c r="B62" s="2">
        <f t="shared" si="9"/>
        <v>0</v>
      </c>
      <c r="C62" s="2">
        <f t="shared" si="9"/>
        <v>0</v>
      </c>
      <c r="D62" s="2">
        <f t="shared" si="9"/>
        <v>0</v>
      </c>
      <c r="E62" s="2">
        <f t="shared" si="9"/>
        <v>0</v>
      </c>
      <c r="F62" s="2">
        <f t="shared" si="9"/>
        <v>0</v>
      </c>
      <c r="G62" s="2">
        <f t="shared" si="9"/>
        <v>0</v>
      </c>
      <c r="H62" s="2">
        <f t="shared" si="9"/>
        <v>0</v>
      </c>
      <c r="I62" s="2">
        <f t="shared" si="9"/>
        <v>0</v>
      </c>
    </row>
    <row r="63" spans="1:9" x14ac:dyDescent="0.25">
      <c r="A63">
        <v>140</v>
      </c>
      <c r="B63" s="2">
        <f t="shared" si="9"/>
        <v>-4.9929915796243292E-2</v>
      </c>
      <c r="C63" s="2">
        <f t="shared" si="9"/>
        <v>-1.862485481217329E-2</v>
      </c>
      <c r="D63" s="2">
        <f t="shared" si="9"/>
        <v>-4.4836360073065434E-2</v>
      </c>
      <c r="E63" s="2">
        <f t="shared" si="9"/>
        <v>-3.3142166270806461E-2</v>
      </c>
      <c r="F63" s="2">
        <f t="shared" si="9"/>
        <v>-5.886666113072276E-2</v>
      </c>
      <c r="G63" s="2">
        <f t="shared" si="9"/>
        <v>-4.3099989531053803E-2</v>
      </c>
      <c r="H63" s="2">
        <f t="shared" si="9"/>
        <v>-0.11428395074971918</v>
      </c>
      <c r="I63" s="2">
        <f t="shared" si="9"/>
        <v>-6.2532312032946416E-2</v>
      </c>
    </row>
    <row r="64" spans="1:9" x14ac:dyDescent="0.25">
      <c r="A64">
        <v>180</v>
      </c>
      <c r="B64" s="2">
        <f t="shared" si="9"/>
        <v>-0.13831475068627341</v>
      </c>
      <c r="C64" s="2">
        <f t="shared" si="9"/>
        <v>-6.8666429434634621E-2</v>
      </c>
      <c r="D64" s="2">
        <f t="shared" si="9"/>
        <v>-0.11478712814124864</v>
      </c>
      <c r="E64" s="2">
        <f t="shared" si="9"/>
        <v>-9.1370132493666933E-2</v>
      </c>
      <c r="F64" s="2">
        <f t="shared" si="9"/>
        <v>-0.14705227823998435</v>
      </c>
      <c r="G64" s="2">
        <f t="shared" si="9"/>
        <v>-0.12964310126400039</v>
      </c>
      <c r="H64" s="2">
        <f t="shared" si="9"/>
        <v>-0.21406159136937486</v>
      </c>
      <c r="I64" s="2">
        <f t="shared" si="9"/>
        <v>-0.16430984508211882</v>
      </c>
    </row>
    <row r="65" spans="1:9" x14ac:dyDescent="0.25">
      <c r="A65">
        <v>210</v>
      </c>
      <c r="B65" s="2">
        <f t="shared" si="9"/>
        <v>-0.5148168802359594</v>
      </c>
      <c r="C65" s="2">
        <f t="shared" si="9"/>
        <v>-0.39868301615561424</v>
      </c>
      <c r="D65" s="2">
        <f t="shared" si="9"/>
        <v>-0.45399947691547737</v>
      </c>
      <c r="E65" s="2">
        <f t="shared" si="9"/>
        <v>-0.41581373885821088</v>
      </c>
      <c r="F65" s="2">
        <f t="shared" si="9"/>
        <v>-0.51499074569666836</v>
      </c>
      <c r="G65" s="2">
        <f t="shared" si="9"/>
        <v>-0.5021365207235069</v>
      </c>
      <c r="H65" s="2">
        <f t="shared" si="9"/>
        <v>-0.58114588203316442</v>
      </c>
      <c r="I65" s="2">
        <f t="shared" si="9"/>
        <v>-0.54064941225164287</v>
      </c>
    </row>
    <row r="66" spans="1:9" x14ac:dyDescent="0.25">
      <c r="A66">
        <v>250</v>
      </c>
      <c r="B66" s="2">
        <f t="shared" si="9"/>
        <v>-2.2971497750240975</v>
      </c>
      <c r="C66" s="2">
        <f t="shared" si="9"/>
        <v>-2.0704719947769181</v>
      </c>
      <c r="D66" s="2">
        <f t="shared" si="9"/>
        <v>-2.1503971659897818</v>
      </c>
      <c r="E66" s="2">
        <f t="shared" si="9"/>
        <v>-2.0699450008812925</v>
      </c>
      <c r="F66" s="2">
        <f t="shared" si="9"/>
        <v>-2.2832128718802882</v>
      </c>
      <c r="G66" s="2">
        <f t="shared" si="9"/>
        <v>-2.2834850769386446</v>
      </c>
      <c r="H66" s="2">
        <f t="shared" si="9"/>
        <v>-2.2998170741948947</v>
      </c>
      <c r="I66" s="2">
        <f t="shared" si="9"/>
        <v>-2.3019924279176678</v>
      </c>
    </row>
  </sheetData>
  <mergeCells count="6">
    <mergeCell ref="A57:I57"/>
    <mergeCell ref="A1:I1"/>
    <mergeCell ref="A12:I12"/>
    <mergeCell ref="A23:I23"/>
    <mergeCell ref="A35:I35"/>
    <mergeCell ref="A46:I46"/>
  </mergeCells>
  <conditionalFormatting sqref="B25:I25 B32:I32">
    <cfRule type="cellIs" dxfId="7" priority="3" operator="lessThan">
      <formula>-5.5</formula>
    </cfRule>
  </conditionalFormatting>
  <conditionalFormatting sqref="B25:I32">
    <cfRule type="cellIs" dxfId="6" priority="4" operator="greaterThan">
      <formula>0.5</formula>
    </cfRule>
  </conditionalFormatting>
  <conditionalFormatting sqref="B26:I26 B31:I31">
    <cfRule type="cellIs" dxfId="5" priority="2" operator="lessThan">
      <formula>-2</formula>
    </cfRule>
  </conditionalFormatting>
  <conditionalFormatting sqref="B27:I30">
    <cfRule type="cellIs" dxfId="4" priority="1" operator="lessThan">
      <formula>-0.5</formula>
    </cfRule>
  </conditionalFormatting>
  <conditionalFormatting sqref="B59:I59 B66:I66">
    <cfRule type="cellIs" dxfId="3" priority="7" operator="lessThan">
      <formula>-5.5</formula>
    </cfRule>
  </conditionalFormatting>
  <conditionalFormatting sqref="B59:I66">
    <cfRule type="cellIs" dxfId="2" priority="8" operator="greaterThan">
      <formula>0.5</formula>
    </cfRule>
  </conditionalFormatting>
  <conditionalFormatting sqref="B60:I60 B65:I65">
    <cfRule type="cellIs" dxfId="1" priority="6" operator="lessThan">
      <formula>-2</formula>
    </cfRule>
  </conditionalFormatting>
  <conditionalFormatting sqref="B61:I64">
    <cfRule type="cellIs" dxfId="0" priority="5" operator="lessThan">
      <formula>-0.5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</dc:creator>
  <cp:lastModifiedBy>Shaev Andrew</cp:lastModifiedBy>
  <dcterms:created xsi:type="dcterms:W3CDTF">2015-06-05T18:17:20Z</dcterms:created>
  <dcterms:modified xsi:type="dcterms:W3CDTF">2026-04-21T12:52:45Z</dcterms:modified>
</cp:coreProperties>
</file>
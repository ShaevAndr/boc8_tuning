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drew\Desktop\боц8\"/>
    </mc:Choice>
  </mc:AlternateContent>
  <xr:revisionPtr revIDLastSave="0" documentId="8_{E54E4FE8-AD24-4256-BB2B-C4DC6D1F8699}" xr6:coauthVersionLast="47" xr6:coauthVersionMax="47" xr10:uidLastSave="{00000000-0000-0000-0000-000000000000}"/>
  <bookViews>
    <workbookView xWindow="2205" yWindow="2205" windowWidth="21600" windowHeight="113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1" i="1" l="1"/>
  <c r="B82" i="1"/>
  <c r="C82" i="1"/>
  <c r="D82" i="1"/>
  <c r="E82" i="1"/>
  <c r="F82" i="1"/>
  <c r="G82" i="1"/>
  <c r="H82" i="1"/>
  <c r="I82" i="1"/>
  <c r="B83" i="1"/>
  <c r="C83" i="1"/>
  <c r="D83" i="1"/>
  <c r="E83" i="1"/>
  <c r="F83" i="1"/>
  <c r="G83" i="1"/>
  <c r="H83" i="1"/>
  <c r="I83" i="1"/>
  <c r="B84" i="1"/>
  <c r="C84" i="1"/>
  <c r="D84" i="1"/>
  <c r="E84" i="1"/>
  <c r="F84" i="1"/>
  <c r="G84" i="1"/>
  <c r="H84" i="1"/>
  <c r="I84" i="1"/>
  <c r="B85" i="1"/>
  <c r="C85" i="1"/>
  <c r="D85" i="1"/>
  <c r="E85" i="1"/>
  <c r="F85" i="1"/>
  <c r="G85" i="1"/>
  <c r="H85" i="1"/>
  <c r="I85" i="1"/>
  <c r="B86" i="1"/>
  <c r="C86" i="1"/>
  <c r="D86" i="1"/>
  <c r="E86" i="1"/>
  <c r="F86" i="1"/>
  <c r="G86" i="1"/>
  <c r="H86" i="1"/>
  <c r="I86" i="1"/>
  <c r="B87" i="1"/>
  <c r="C87" i="1"/>
  <c r="D87" i="1"/>
  <c r="E87" i="1"/>
  <c r="F87" i="1"/>
  <c r="G87" i="1"/>
  <c r="H87" i="1"/>
  <c r="I87" i="1"/>
  <c r="B88" i="1"/>
  <c r="C88" i="1"/>
  <c r="D88" i="1"/>
  <c r="E88" i="1"/>
  <c r="F88" i="1"/>
  <c r="G88" i="1"/>
  <c r="H88" i="1"/>
  <c r="I88" i="1"/>
  <c r="C81" i="1"/>
  <c r="D81" i="1"/>
  <c r="E81" i="1"/>
  <c r="F81" i="1"/>
  <c r="G81" i="1"/>
  <c r="H81" i="1"/>
  <c r="I81" i="1"/>
  <c r="B81" i="1"/>
  <c r="B49" i="1"/>
  <c r="C49" i="1"/>
  <c r="D49" i="1"/>
  <c r="E49" i="1"/>
  <c r="F49" i="1"/>
  <c r="G49" i="1"/>
  <c r="H49" i="1"/>
  <c r="I49" i="1"/>
  <c r="B50" i="1"/>
  <c r="C50" i="1"/>
  <c r="D50" i="1"/>
  <c r="E50" i="1"/>
  <c r="F50" i="1"/>
  <c r="G50" i="1"/>
  <c r="H50" i="1"/>
  <c r="I50" i="1"/>
  <c r="B51" i="1"/>
  <c r="C51" i="1"/>
  <c r="D51" i="1"/>
  <c r="E51" i="1"/>
  <c r="F51" i="1"/>
  <c r="G51" i="1"/>
  <c r="H51" i="1"/>
  <c r="I51" i="1"/>
  <c r="B52" i="1"/>
  <c r="C52" i="1"/>
  <c r="D52" i="1"/>
  <c r="E52" i="1"/>
  <c r="F52" i="1"/>
  <c r="G52" i="1"/>
  <c r="H52" i="1"/>
  <c r="I52" i="1"/>
  <c r="B53" i="1"/>
  <c r="C53" i="1"/>
  <c r="D53" i="1"/>
  <c r="E53" i="1"/>
  <c r="F53" i="1"/>
  <c r="G53" i="1"/>
  <c r="H53" i="1"/>
  <c r="I53" i="1"/>
  <c r="B54" i="1"/>
  <c r="C54" i="1"/>
  <c r="D54" i="1"/>
  <c r="E54" i="1"/>
  <c r="F54" i="1"/>
  <c r="G54" i="1"/>
  <c r="H54" i="1"/>
  <c r="I54" i="1"/>
  <c r="B55" i="1"/>
  <c r="C55" i="1"/>
  <c r="D55" i="1"/>
  <c r="E55" i="1"/>
  <c r="F55" i="1"/>
  <c r="G55" i="1"/>
  <c r="H55" i="1"/>
  <c r="I55" i="1"/>
  <c r="C48" i="1"/>
  <c r="D48" i="1"/>
  <c r="E48" i="1"/>
  <c r="F48" i="1"/>
  <c r="G48" i="1"/>
  <c r="H48" i="1"/>
  <c r="I48" i="1"/>
  <c r="B48" i="1"/>
  <c r="H21" i="1"/>
  <c r="G21" i="1"/>
  <c r="F21" i="1"/>
  <c r="E21" i="1"/>
  <c r="D21" i="1"/>
  <c r="B21" i="1"/>
  <c r="C21" i="1"/>
  <c r="C16" i="1"/>
  <c r="B15" i="1"/>
  <c r="C15" i="1"/>
  <c r="D15" i="1"/>
  <c r="E15" i="1"/>
  <c r="F15" i="1"/>
  <c r="G15" i="1"/>
  <c r="H15" i="1"/>
  <c r="I15" i="1"/>
  <c r="B16" i="1"/>
  <c r="D16" i="1"/>
  <c r="E16" i="1"/>
  <c r="F16" i="1"/>
  <c r="G16" i="1"/>
  <c r="H16" i="1"/>
  <c r="I16" i="1"/>
  <c r="B17" i="1"/>
  <c r="C17" i="1"/>
  <c r="D17" i="1"/>
  <c r="E17" i="1"/>
  <c r="F17" i="1"/>
  <c r="G17" i="1"/>
  <c r="H17" i="1"/>
  <c r="I17" i="1"/>
  <c r="B18" i="1"/>
  <c r="C18" i="1"/>
  <c r="D18" i="1"/>
  <c r="E18" i="1"/>
  <c r="F18" i="1"/>
  <c r="G18" i="1"/>
  <c r="H18" i="1"/>
  <c r="I18" i="1"/>
  <c r="B19" i="1"/>
  <c r="C19" i="1"/>
  <c r="D19" i="1"/>
  <c r="E19" i="1"/>
  <c r="F19" i="1"/>
  <c r="G19" i="1"/>
  <c r="H19" i="1"/>
  <c r="I19" i="1"/>
  <c r="B20" i="1"/>
  <c r="C20" i="1"/>
  <c r="D20" i="1"/>
  <c r="E20" i="1"/>
  <c r="F20" i="1"/>
  <c r="G20" i="1"/>
  <c r="H20" i="1"/>
  <c r="I20" i="1"/>
  <c r="C14" i="1"/>
  <c r="D14" i="1"/>
  <c r="E14" i="1"/>
  <c r="F14" i="1"/>
  <c r="G14" i="1"/>
  <c r="H14" i="1"/>
  <c r="I14" i="1"/>
  <c r="B14" i="1"/>
  <c r="B3" i="1"/>
  <c r="B25" i="1" s="1"/>
  <c r="B71" i="1"/>
  <c r="B93" i="1" s="1"/>
  <c r="C71" i="1"/>
  <c r="D71" i="1"/>
  <c r="E71" i="1"/>
  <c r="F71" i="1"/>
  <c r="F93" i="1" s="1"/>
  <c r="G71" i="1"/>
  <c r="H71" i="1"/>
  <c r="I71" i="1"/>
  <c r="B72" i="1"/>
  <c r="B94" i="1" s="1"/>
  <c r="C72" i="1"/>
  <c r="D72" i="1"/>
  <c r="E72" i="1"/>
  <c r="F72" i="1"/>
  <c r="F94" i="1" s="1"/>
  <c r="G72" i="1"/>
  <c r="H72" i="1"/>
  <c r="I72" i="1"/>
  <c r="B73" i="1"/>
  <c r="B95" i="1" s="1"/>
  <c r="C73" i="1"/>
  <c r="D73" i="1"/>
  <c r="E73" i="1"/>
  <c r="F73" i="1"/>
  <c r="F95" i="1" s="1"/>
  <c r="G73" i="1"/>
  <c r="H73" i="1"/>
  <c r="I73" i="1"/>
  <c r="B74" i="1"/>
  <c r="B96" i="1" s="1"/>
  <c r="C74" i="1"/>
  <c r="D74" i="1"/>
  <c r="E74" i="1"/>
  <c r="F74" i="1"/>
  <c r="F96" i="1" s="1"/>
  <c r="G74" i="1"/>
  <c r="H74" i="1"/>
  <c r="I74" i="1"/>
  <c r="B75" i="1"/>
  <c r="B97" i="1" s="1"/>
  <c r="C75" i="1"/>
  <c r="D75" i="1"/>
  <c r="E75" i="1"/>
  <c r="F75" i="1"/>
  <c r="F97" i="1" s="1"/>
  <c r="G75" i="1"/>
  <c r="H75" i="1"/>
  <c r="I75" i="1"/>
  <c r="B76" i="1"/>
  <c r="B98" i="1" s="1"/>
  <c r="C76" i="1"/>
  <c r="D76" i="1"/>
  <c r="E76" i="1"/>
  <c r="F76" i="1"/>
  <c r="F98" i="1" s="1"/>
  <c r="G76" i="1"/>
  <c r="H76" i="1"/>
  <c r="I76" i="1"/>
  <c r="B77" i="1"/>
  <c r="B99" i="1" s="1"/>
  <c r="C77" i="1"/>
  <c r="D77" i="1"/>
  <c r="E77" i="1"/>
  <c r="F77" i="1"/>
  <c r="F99" i="1" s="1"/>
  <c r="G77" i="1"/>
  <c r="H77" i="1"/>
  <c r="I77" i="1"/>
  <c r="C70" i="1"/>
  <c r="C92" i="1" s="1"/>
  <c r="D70" i="1"/>
  <c r="E70" i="1"/>
  <c r="F70" i="1"/>
  <c r="G70" i="1"/>
  <c r="G92" i="1" s="1"/>
  <c r="H70" i="1"/>
  <c r="I70" i="1"/>
  <c r="B70" i="1"/>
  <c r="I44" i="1"/>
  <c r="I66" i="1" s="1"/>
  <c r="H44" i="1"/>
  <c r="G44" i="1"/>
  <c r="G66" i="1" s="1"/>
  <c r="F44" i="1"/>
  <c r="F66" i="1" s="1"/>
  <c r="E44" i="1"/>
  <c r="E66" i="1" s="1"/>
  <c r="D44" i="1"/>
  <c r="C44" i="1"/>
  <c r="C66" i="1" s="1"/>
  <c r="B44" i="1"/>
  <c r="B66" i="1" s="1"/>
  <c r="I43" i="1"/>
  <c r="I65" i="1" s="1"/>
  <c r="H43" i="1"/>
  <c r="G43" i="1"/>
  <c r="G65" i="1" s="1"/>
  <c r="F43" i="1"/>
  <c r="F65" i="1" s="1"/>
  <c r="E43" i="1"/>
  <c r="E65" i="1" s="1"/>
  <c r="D43" i="1"/>
  <c r="C43" i="1"/>
  <c r="C65" i="1" s="1"/>
  <c r="B43" i="1"/>
  <c r="B65" i="1" s="1"/>
  <c r="I42" i="1"/>
  <c r="I64" i="1" s="1"/>
  <c r="H42" i="1"/>
  <c r="G42" i="1"/>
  <c r="G64" i="1" s="1"/>
  <c r="F42" i="1"/>
  <c r="F64" i="1" s="1"/>
  <c r="E42" i="1"/>
  <c r="E64" i="1" s="1"/>
  <c r="D42" i="1"/>
  <c r="C42" i="1"/>
  <c r="C64" i="1" s="1"/>
  <c r="B42" i="1"/>
  <c r="B64" i="1" s="1"/>
  <c r="I41" i="1"/>
  <c r="I63" i="1" s="1"/>
  <c r="H41" i="1"/>
  <c r="G41" i="1"/>
  <c r="G63" i="1" s="1"/>
  <c r="F41" i="1"/>
  <c r="F63" i="1" s="1"/>
  <c r="E41" i="1"/>
  <c r="E63" i="1" s="1"/>
  <c r="D41" i="1"/>
  <c r="C41" i="1"/>
  <c r="C63" i="1" s="1"/>
  <c r="B41" i="1"/>
  <c r="B63" i="1" s="1"/>
  <c r="I40" i="1"/>
  <c r="I62" i="1" s="1"/>
  <c r="H40" i="1"/>
  <c r="G40" i="1"/>
  <c r="G62" i="1" s="1"/>
  <c r="F40" i="1"/>
  <c r="F62" i="1" s="1"/>
  <c r="E40" i="1"/>
  <c r="E62" i="1" s="1"/>
  <c r="D40" i="1"/>
  <c r="C40" i="1"/>
  <c r="C62" i="1" s="1"/>
  <c r="B40" i="1"/>
  <c r="B62" i="1" s="1"/>
  <c r="I39" i="1"/>
  <c r="I61" i="1" s="1"/>
  <c r="H39" i="1"/>
  <c r="G39" i="1"/>
  <c r="G61" i="1" s="1"/>
  <c r="F39" i="1"/>
  <c r="F61" i="1" s="1"/>
  <c r="E39" i="1"/>
  <c r="E61" i="1" s="1"/>
  <c r="D39" i="1"/>
  <c r="C39" i="1"/>
  <c r="C61" i="1" s="1"/>
  <c r="B39" i="1"/>
  <c r="B61" i="1" s="1"/>
  <c r="I38" i="1"/>
  <c r="H38" i="1"/>
  <c r="G38" i="1"/>
  <c r="G60" i="1" s="1"/>
  <c r="F38" i="1"/>
  <c r="F60" i="1" s="1"/>
  <c r="E38" i="1"/>
  <c r="D38" i="1"/>
  <c r="C38" i="1"/>
  <c r="B38" i="1"/>
  <c r="B60" i="1" s="1"/>
  <c r="I37" i="1"/>
  <c r="H37" i="1"/>
  <c r="G37" i="1"/>
  <c r="F37" i="1"/>
  <c r="E37" i="1"/>
  <c r="D37" i="1"/>
  <c r="C37" i="1"/>
  <c r="B37" i="1"/>
  <c r="I10" i="1"/>
  <c r="H10" i="1"/>
  <c r="G10" i="1"/>
  <c r="F10" i="1"/>
  <c r="E10" i="1"/>
  <c r="E32" i="1" s="1"/>
  <c r="D10" i="1"/>
  <c r="D32" i="1" s="1"/>
  <c r="C10" i="1"/>
  <c r="B10" i="1"/>
  <c r="I9" i="1"/>
  <c r="H9" i="1"/>
  <c r="G9" i="1"/>
  <c r="G31" i="1" s="1"/>
  <c r="F9" i="1"/>
  <c r="E9" i="1"/>
  <c r="D9" i="1"/>
  <c r="C9" i="1"/>
  <c r="C31" i="1" s="1"/>
  <c r="B9" i="1"/>
  <c r="I8" i="1"/>
  <c r="H8" i="1"/>
  <c r="G8" i="1"/>
  <c r="F8" i="1"/>
  <c r="E8" i="1"/>
  <c r="D8" i="1"/>
  <c r="C8" i="1"/>
  <c r="B8" i="1"/>
  <c r="I7" i="1"/>
  <c r="H7" i="1"/>
  <c r="G7" i="1"/>
  <c r="G29" i="1" s="1"/>
  <c r="F7" i="1"/>
  <c r="E7" i="1"/>
  <c r="D7" i="1"/>
  <c r="C7" i="1"/>
  <c r="C29" i="1" s="1"/>
  <c r="B7" i="1"/>
  <c r="I6" i="1"/>
  <c r="H6" i="1"/>
  <c r="G6" i="1"/>
  <c r="F6" i="1"/>
  <c r="E6" i="1"/>
  <c r="D6" i="1"/>
  <c r="C6" i="1"/>
  <c r="B6" i="1"/>
  <c r="I5" i="1"/>
  <c r="H5" i="1"/>
  <c r="G5" i="1"/>
  <c r="G27" i="1" s="1"/>
  <c r="F5" i="1"/>
  <c r="E5" i="1"/>
  <c r="D5" i="1"/>
  <c r="C5" i="1"/>
  <c r="B5" i="1"/>
  <c r="B27" i="1" s="1"/>
  <c r="I4" i="1"/>
  <c r="H4" i="1"/>
  <c r="G4" i="1"/>
  <c r="F4" i="1"/>
  <c r="F26" i="1" s="1"/>
  <c r="E4" i="1"/>
  <c r="D4" i="1"/>
  <c r="C4" i="1"/>
  <c r="B4" i="1"/>
  <c r="I3" i="1"/>
  <c r="I25" i="1" s="1"/>
  <c r="H3" i="1"/>
  <c r="G3" i="1"/>
  <c r="F3" i="1"/>
  <c r="E3" i="1"/>
  <c r="D3" i="1"/>
  <c r="C3" i="1"/>
  <c r="B31" i="1" l="1"/>
  <c r="F59" i="1"/>
  <c r="B28" i="1"/>
  <c r="F29" i="1"/>
  <c r="F31" i="1"/>
  <c r="F32" i="1"/>
  <c r="D66" i="1"/>
  <c r="D65" i="1"/>
  <c r="D64" i="1"/>
  <c r="D63" i="1"/>
  <c r="D62" i="1"/>
  <c r="D61" i="1"/>
  <c r="I92" i="1"/>
  <c r="H98" i="1"/>
  <c r="H96" i="1"/>
  <c r="H94" i="1"/>
  <c r="F28" i="1"/>
  <c r="B30" i="1"/>
  <c r="E25" i="1"/>
  <c r="H29" i="1"/>
  <c r="H27" i="1"/>
  <c r="F27" i="1"/>
  <c r="B29" i="1"/>
  <c r="F30" i="1"/>
  <c r="C27" i="1"/>
  <c r="I32" i="1"/>
  <c r="B92" i="1"/>
  <c r="B32" i="1"/>
  <c r="I59" i="1"/>
  <c r="C32" i="1"/>
  <c r="H99" i="1"/>
  <c r="H97" i="1"/>
  <c r="H95" i="1"/>
  <c r="H93" i="1"/>
  <c r="B26" i="1"/>
  <c r="E59" i="1"/>
  <c r="D25" i="1"/>
  <c r="H25" i="1"/>
  <c r="D26" i="1"/>
  <c r="H26" i="1"/>
  <c r="H31" i="1"/>
  <c r="H61" i="1"/>
  <c r="H62" i="1"/>
  <c r="H63" i="1"/>
  <c r="H64" i="1"/>
  <c r="H65" i="1"/>
  <c r="H66" i="1"/>
  <c r="F25" i="1"/>
  <c r="H30" i="1"/>
  <c r="D29" i="1"/>
  <c r="D28" i="1"/>
  <c r="G26" i="1"/>
  <c r="C26" i="1"/>
  <c r="G32" i="1"/>
  <c r="H60" i="1"/>
  <c r="D60" i="1"/>
  <c r="E92" i="1"/>
  <c r="D99" i="1"/>
  <c r="D98" i="1"/>
  <c r="D97" i="1"/>
  <c r="D96" i="1"/>
  <c r="D95" i="1"/>
  <c r="D94" i="1"/>
  <c r="G25" i="1"/>
  <c r="C25" i="1"/>
  <c r="G30" i="1"/>
  <c r="C30" i="1"/>
  <c r="G28" i="1"/>
  <c r="C28" i="1"/>
  <c r="H32" i="1"/>
  <c r="C60" i="1"/>
  <c r="C93" i="1"/>
  <c r="D31" i="1"/>
  <c r="D30" i="1"/>
  <c r="H28" i="1"/>
  <c r="D27" i="1"/>
  <c r="D93" i="1"/>
  <c r="H59" i="1"/>
  <c r="D59" i="1"/>
  <c r="H92" i="1"/>
  <c r="D92" i="1"/>
  <c r="G99" i="1"/>
  <c r="C99" i="1"/>
  <c r="G98" i="1"/>
  <c r="C98" i="1"/>
  <c r="G97" i="1"/>
  <c r="C97" i="1"/>
  <c r="G96" i="1"/>
  <c r="C96" i="1"/>
  <c r="G95" i="1"/>
  <c r="C95" i="1"/>
  <c r="G94" i="1"/>
  <c r="C94" i="1"/>
  <c r="G93" i="1"/>
  <c r="I31" i="1"/>
  <c r="E31" i="1"/>
  <c r="I30" i="1"/>
  <c r="E30" i="1"/>
  <c r="I29" i="1"/>
  <c r="E29" i="1"/>
  <c r="I28" i="1"/>
  <c r="E28" i="1"/>
  <c r="I27" i="1"/>
  <c r="E27" i="1"/>
  <c r="B59" i="1"/>
  <c r="I60" i="1"/>
  <c r="E60" i="1"/>
  <c r="F92" i="1"/>
  <c r="I99" i="1"/>
  <c r="E99" i="1"/>
  <c r="I98" i="1"/>
  <c r="E98" i="1"/>
  <c r="I97" i="1"/>
  <c r="E97" i="1"/>
  <c r="I96" i="1"/>
  <c r="E96" i="1"/>
  <c r="I95" i="1"/>
  <c r="E95" i="1"/>
  <c r="I94" i="1"/>
  <c r="E94" i="1"/>
  <c r="I93" i="1"/>
  <c r="E93" i="1"/>
  <c r="I26" i="1"/>
  <c r="E26" i="1"/>
  <c r="G59" i="1"/>
  <c r="C59" i="1"/>
</calcChain>
</file>

<file path=xl/sharedStrings.xml><?xml version="1.0" encoding="utf-8"?>
<sst xmlns="http://schemas.openxmlformats.org/spreadsheetml/2006/main" count="18" uniqueCount="11">
  <si>
    <t>частота\канал</t>
  </si>
  <si>
    <t>частота/канал</t>
  </si>
  <si>
    <t>Установленное значение при коэффициенте усиления BOE "-1", BOC "0"</t>
  </si>
  <si>
    <t>Измеренное значение при коэффициенте усиления BOE "-1", BOC "0"</t>
  </si>
  <si>
    <t>Погрешность при коеффициенте усления BOE "-1", BOC "0"</t>
  </si>
  <si>
    <t>Установленное значение при коэффициенте усиления BOE "-1", BOC "3"</t>
  </si>
  <si>
    <t>Измеренное значение при коэффициенте усиления BOE "-1", BOC "3"</t>
  </si>
  <si>
    <t>Погрешность при коеффициенте усления BOE "-1", BOC "3"</t>
  </si>
  <si>
    <t>Установленное значение при коэффициенте усиления BOE "0", BOC "0"</t>
  </si>
  <si>
    <t>Измеренное значение при коэффициенте усиления BOE "0", BOC "0"</t>
  </si>
  <si>
    <t>Погрешность при коеффициенте усления BOE "0", BOC "0"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</si>
</sst>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</font>
    <font>
      <sz val="10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1" fontId="1" fillId="0" borderId="1" xfId="0" applyNumberFormat="1" applyFont="1" applyBorder="1"/>
    <xf numFmtId="165" fontId="0" fillId="0" borderId="0" xfId="0" applyNumberFormat="1"/>
    <xf numFmtId="0" fontId="0" fillId="0" borderId="0" xfId="0"/>
    <xf numFmtId="0" fontId="0" fillId="0" borderId="0" xfId="0" applyAlignment="1">
      <alignment horizontal="center"/>
    </xf>
    <xf numFmtId="11" fontId="2" fillId="0" borderId="1" xfId="0" applyNumberFormat="1" applyFont="1" applyBorder="1"/>
  </cellXfs>
  <cellStyles count="1">
    <cellStyle name="Обычный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9"/>
  <sheetViews>
    <sheetView tabSelected="1" topLeftCell="A70" workbookViewId="0">
      <selection activeCell="L88" sqref="L88"/>
    </sheetView>
  </sheetViews>
  <sheetFormatPr defaultRowHeight="15" x14ac:dyDescent="0.25"/>
  <cols>
    <col min="2" max="9" width="13.7109375" bestFit="1" customWidth="1"/>
    <col min="13" max="20" width="13.5703125" customWidth="1"/>
  </cols>
  <sheetData>
    <row r="1" spans="1:20" x14ac:dyDescent="0.25">
      <c r="A1" s="4" t="s">
        <v>2</v>
      </c>
      <c r="B1" s="4"/>
      <c r="C1" s="4"/>
      <c r="D1" s="4"/>
      <c r="E1" s="4"/>
      <c r="F1" s="4"/>
      <c r="G1" s="4"/>
      <c r="H1" s="4"/>
      <c r="I1" s="4"/>
      <c r="M1" s="2">
        <v>9.9999997000000003E-5</v>
      </c>
      <c r="N1" s="2">
        <v>9.9999997000000003E-5</v>
      </c>
      <c r="O1" s="2">
        <v>9.9999997000000003E-5</v>
      </c>
      <c r="P1" s="2">
        <v>9.9999997000000003E-5</v>
      </c>
      <c r="Q1" s="2">
        <v>9.9999997000000003E-5</v>
      </c>
      <c r="R1" s="2">
        <v>9.9999997000000003E-5</v>
      </c>
      <c r="S1" s="2">
        <v>9.9999997000000003E-5</v>
      </c>
      <c r="T1" s="2">
        <v>9.9999997000000003E-5</v>
      </c>
    </row>
    <row r="2" spans="1:20" x14ac:dyDescent="0.25">
      <c r="A2" t="s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M2" s="2">
        <v>5.0000002400000002E-4</v>
      </c>
      <c r="N2" s="2">
        <v>5.0000002400000002E-4</v>
      </c>
      <c r="O2" s="2">
        <v>5.0000002400000002E-4</v>
      </c>
      <c r="P2" s="2">
        <v>5.0000002400000002E-4</v>
      </c>
      <c r="Q2" s="2">
        <v>5.0000002400000002E-4</v>
      </c>
      <c r="R2" s="2">
        <v>5.0000002400000002E-4</v>
      </c>
      <c r="S2" s="2">
        <v>5.0000002400000002E-4</v>
      </c>
      <c r="T2" s="2">
        <v>5.0000002400000002E-4</v>
      </c>
    </row>
    <row r="3" spans="1:20" x14ac:dyDescent="0.25">
      <c r="A3">
        <v>100</v>
      </c>
      <c r="B3" s="3">
        <f>M1</f>
        <v>9.9999997000000003E-5</v>
      </c>
      <c r="C3" s="3">
        <f t="shared" ref="C3:I10" si="0">N1</f>
        <v>9.9999997000000003E-5</v>
      </c>
      <c r="D3" s="3">
        <f t="shared" si="0"/>
        <v>9.9999997000000003E-5</v>
      </c>
      <c r="E3" s="3">
        <f t="shared" si="0"/>
        <v>9.9999997000000003E-5</v>
      </c>
      <c r="F3" s="3">
        <f t="shared" si="0"/>
        <v>9.9999997000000003E-5</v>
      </c>
      <c r="G3" s="3">
        <f t="shared" si="0"/>
        <v>9.9999997000000003E-5</v>
      </c>
      <c r="H3" s="3">
        <f t="shared" si="0"/>
        <v>9.9999997000000003E-5</v>
      </c>
      <c r="I3" s="3">
        <f t="shared" si="0"/>
        <v>9.9999997000000003E-5</v>
      </c>
      <c r="M3" s="2">
        <v>1E-3</v>
      </c>
      <c r="N3" s="2">
        <v>1E-3</v>
      </c>
      <c r="O3" s="2">
        <v>1E-3</v>
      </c>
      <c r="P3" s="2">
        <v>1E-3</v>
      </c>
      <c r="Q3" s="2">
        <v>1E-3</v>
      </c>
      <c r="R3" s="2">
        <v>1E-3</v>
      </c>
      <c r="S3" s="2">
        <v>1E-3</v>
      </c>
      <c r="T3" s="2">
        <v>1E-3</v>
      </c>
    </row>
    <row r="4" spans="1:20" x14ac:dyDescent="0.25">
      <c r="A4">
        <v>500</v>
      </c>
      <c r="B4" s="3">
        <f t="shared" ref="B4:B10" si="1">M2</f>
        <v>5.0000002400000002E-4</v>
      </c>
      <c r="C4" s="3">
        <f t="shared" si="0"/>
        <v>5.0000002400000002E-4</v>
      </c>
      <c r="D4" s="3">
        <f t="shared" si="0"/>
        <v>5.0000002400000002E-4</v>
      </c>
      <c r="E4" s="3">
        <f t="shared" si="0"/>
        <v>5.0000002400000002E-4</v>
      </c>
      <c r="F4" s="3">
        <f t="shared" si="0"/>
        <v>5.0000002400000002E-4</v>
      </c>
      <c r="G4" s="3">
        <f t="shared" si="0"/>
        <v>5.0000002400000002E-4</v>
      </c>
      <c r="H4" s="3">
        <f t="shared" si="0"/>
        <v>5.0000002400000002E-4</v>
      </c>
      <c r="I4" s="3">
        <f t="shared" si="0"/>
        <v>5.0000002400000002E-4</v>
      </c>
      <c r="M4" s="2">
        <v>5.0000000000000001E-3</v>
      </c>
      <c r="N4" s="2">
        <v>5.0000000000000001E-3</v>
      </c>
      <c r="O4" s="2">
        <v>5.0000000000000001E-3</v>
      </c>
      <c r="P4" s="2">
        <v>5.0000000000000001E-3</v>
      </c>
      <c r="Q4" s="2">
        <v>5.0000000000000001E-3</v>
      </c>
      <c r="R4" s="2">
        <v>5.0000000000000001E-3</v>
      </c>
      <c r="S4" s="2">
        <v>5.0000000000000001E-3</v>
      </c>
      <c r="T4" s="2">
        <v>5.0000000000000001E-3</v>
      </c>
    </row>
    <row r="5" spans="1:20" x14ac:dyDescent="0.25">
      <c r="A5">
        <v>1000</v>
      </c>
      <c r="B5" s="3">
        <f t="shared" si="1"/>
        <v>1E-3</v>
      </c>
      <c r="C5" s="3">
        <f t="shared" si="0"/>
        <v>1E-3</v>
      </c>
      <c r="D5" s="3">
        <f t="shared" si="0"/>
        <v>1E-3</v>
      </c>
      <c r="E5" s="3">
        <f t="shared" si="0"/>
        <v>1E-3</v>
      </c>
      <c r="F5" s="3">
        <f t="shared" si="0"/>
        <v>1E-3</v>
      </c>
      <c r="G5" s="3">
        <f t="shared" si="0"/>
        <v>1E-3</v>
      </c>
      <c r="H5" s="3">
        <f t="shared" si="0"/>
        <v>1E-3</v>
      </c>
      <c r="I5" s="3">
        <f t="shared" si="0"/>
        <v>1E-3</v>
      </c>
      <c r="M5" s="2">
        <v>0.01</v>
      </c>
      <c r="N5" s="2">
        <v>0.01</v>
      </c>
      <c r="O5" s="2">
        <v>0.01</v>
      </c>
      <c r="P5" s="2">
        <v>0.01</v>
      </c>
      <c r="Q5" s="2">
        <v>0.01</v>
      </c>
      <c r="R5" s="2">
        <v>0.01</v>
      </c>
      <c r="S5" s="2">
        <v>0.01</v>
      </c>
      <c r="T5" s="2">
        <v>0.01</v>
      </c>
    </row>
    <row r="6" spans="1:20" x14ac:dyDescent="0.25">
      <c r="A6">
        <v>5000</v>
      </c>
      <c r="B6" s="3">
        <f t="shared" si="1"/>
        <v>5.0000000000000001E-3</v>
      </c>
      <c r="C6" s="3">
        <f t="shared" si="0"/>
        <v>5.0000000000000001E-3</v>
      </c>
      <c r="D6" s="3">
        <f t="shared" si="0"/>
        <v>5.0000000000000001E-3</v>
      </c>
      <c r="E6" s="3">
        <f t="shared" si="0"/>
        <v>5.0000000000000001E-3</v>
      </c>
      <c r="F6" s="3">
        <f t="shared" si="0"/>
        <v>5.0000000000000001E-3</v>
      </c>
      <c r="G6" s="3">
        <f t="shared" si="0"/>
        <v>5.0000000000000001E-3</v>
      </c>
      <c r="H6" s="3">
        <f t="shared" si="0"/>
        <v>5.0000000000000001E-3</v>
      </c>
      <c r="I6" s="3">
        <f t="shared" si="0"/>
        <v>5.0000000000000001E-3</v>
      </c>
      <c r="M6" s="2">
        <v>4.9646522999999998E-2</v>
      </c>
      <c r="N6" s="2">
        <v>4.9421634999999998E-2</v>
      </c>
      <c r="O6" s="2">
        <v>4.9365847999999997E-2</v>
      </c>
      <c r="P6" s="2">
        <v>4.9648929000000001E-2</v>
      </c>
      <c r="Q6" s="2">
        <v>4.9479544E-2</v>
      </c>
      <c r="R6" s="2">
        <v>4.9539614000000003E-2</v>
      </c>
      <c r="S6" s="2">
        <v>4.9420538999999999E-2</v>
      </c>
      <c r="T6" s="2">
        <v>4.9484028999999999E-2</v>
      </c>
    </row>
    <row r="7" spans="1:20" x14ac:dyDescent="0.25">
      <c r="A7">
        <v>10000</v>
      </c>
      <c r="B7" s="3">
        <f t="shared" si="1"/>
        <v>0.01</v>
      </c>
      <c r="C7" s="3">
        <f t="shared" si="0"/>
        <v>0.01</v>
      </c>
      <c r="D7" s="3">
        <f t="shared" si="0"/>
        <v>0.01</v>
      </c>
      <c r="E7" s="3">
        <f t="shared" si="0"/>
        <v>0.01</v>
      </c>
      <c r="F7" s="3">
        <f t="shared" si="0"/>
        <v>0.01</v>
      </c>
      <c r="G7" s="3">
        <f t="shared" si="0"/>
        <v>0.01</v>
      </c>
      <c r="H7" s="3">
        <f t="shared" si="0"/>
        <v>0.01</v>
      </c>
      <c r="I7" s="3">
        <f t="shared" si="0"/>
        <v>0.01</v>
      </c>
      <c r="M7" s="2">
        <v>9.9198118000000002E-2</v>
      </c>
      <c r="N7" s="2">
        <v>9.8798311999999999E-2</v>
      </c>
      <c r="O7" s="2">
        <v>9.8645738999999996E-2</v>
      </c>
      <c r="P7" s="2">
        <v>9.9203199000000006E-2</v>
      </c>
      <c r="Q7" s="2">
        <v>9.8892412999999998E-2</v>
      </c>
      <c r="R7" s="2">
        <v>9.8972641E-2</v>
      </c>
      <c r="S7" s="2">
        <v>9.8797508000000006E-2</v>
      </c>
      <c r="T7" s="2">
        <v>9.8897360000000004E-2</v>
      </c>
    </row>
    <row r="8" spans="1:20" x14ac:dyDescent="0.25">
      <c r="A8">
        <v>50000</v>
      </c>
      <c r="B8" s="3">
        <f t="shared" si="1"/>
        <v>4.9646522999999998E-2</v>
      </c>
      <c r="C8" s="3">
        <f t="shared" si="0"/>
        <v>4.9421634999999998E-2</v>
      </c>
      <c r="D8" s="3">
        <f t="shared" si="0"/>
        <v>4.9365847999999997E-2</v>
      </c>
      <c r="E8" s="3">
        <f t="shared" si="0"/>
        <v>4.9648929000000001E-2</v>
      </c>
      <c r="F8" s="3">
        <f t="shared" si="0"/>
        <v>4.9479544E-2</v>
      </c>
      <c r="G8" s="3">
        <f t="shared" si="0"/>
        <v>4.9539614000000003E-2</v>
      </c>
      <c r="H8" s="3">
        <f t="shared" si="0"/>
        <v>4.9420538999999999E-2</v>
      </c>
      <c r="I8" s="3">
        <f t="shared" si="0"/>
        <v>4.9484028999999999E-2</v>
      </c>
      <c r="M8" s="2">
        <v>0.13837860499999999</v>
      </c>
      <c r="N8" s="2">
        <v>0.13785354799999999</v>
      </c>
      <c r="O8" s="2">
        <v>0.13761501000000001</v>
      </c>
      <c r="P8" s="2">
        <v>0.13838911100000001</v>
      </c>
      <c r="Q8" s="2">
        <v>0.137969434</v>
      </c>
      <c r="R8" s="2">
        <v>0.13806226799999999</v>
      </c>
      <c r="S8" s="2">
        <v>0.13784992700000001</v>
      </c>
      <c r="T8" s="2">
        <v>0.137978509</v>
      </c>
    </row>
    <row r="9" spans="1:20" x14ac:dyDescent="0.25">
      <c r="A9">
        <v>100000</v>
      </c>
      <c r="B9" s="3">
        <f t="shared" si="1"/>
        <v>9.9198118000000002E-2</v>
      </c>
      <c r="C9" s="3">
        <f t="shared" si="0"/>
        <v>9.8798311999999999E-2</v>
      </c>
      <c r="D9" s="3">
        <f t="shared" si="0"/>
        <v>9.8645738999999996E-2</v>
      </c>
      <c r="E9" s="3">
        <f t="shared" si="0"/>
        <v>9.9203199000000006E-2</v>
      </c>
      <c r="F9" s="3">
        <f t="shared" si="0"/>
        <v>9.8892412999999998E-2</v>
      </c>
      <c r="G9" s="3">
        <f t="shared" si="0"/>
        <v>9.8972641E-2</v>
      </c>
      <c r="H9" s="3">
        <f t="shared" si="0"/>
        <v>9.8797508000000006E-2</v>
      </c>
      <c r="I9" s="3">
        <f t="shared" si="0"/>
        <v>9.8897360000000004E-2</v>
      </c>
      <c r="M9" s="2">
        <v>1.4062308800000001E-4</v>
      </c>
      <c r="N9" s="2">
        <v>1.30052067E-4</v>
      </c>
      <c r="O9" s="2">
        <v>1.5196319099999999E-4</v>
      </c>
      <c r="P9" s="2">
        <v>1.3572778000000001E-4</v>
      </c>
      <c r="Q9" s="2">
        <v>1.471617E-4</v>
      </c>
      <c r="R9" s="2">
        <v>1.3898707400000001E-4</v>
      </c>
      <c r="S9" s="2">
        <v>1.5942650499999999E-4</v>
      </c>
      <c r="T9" s="2">
        <v>1.49539352E-4</v>
      </c>
    </row>
    <row r="10" spans="1:20" x14ac:dyDescent="0.25">
      <c r="A10">
        <v>140000</v>
      </c>
      <c r="B10" s="3">
        <f t="shared" si="1"/>
        <v>0.13837860499999999</v>
      </c>
      <c r="C10" s="3">
        <f t="shared" si="0"/>
        <v>0.13785354799999999</v>
      </c>
      <c r="D10" s="3">
        <f t="shared" si="0"/>
        <v>0.13761501000000001</v>
      </c>
      <c r="E10" s="3">
        <f t="shared" si="0"/>
        <v>0.13838911100000001</v>
      </c>
      <c r="F10" s="3">
        <f t="shared" si="0"/>
        <v>0.137969434</v>
      </c>
      <c r="G10" s="3">
        <f t="shared" si="0"/>
        <v>0.13806226799999999</v>
      </c>
      <c r="H10" s="3">
        <f t="shared" si="0"/>
        <v>0.13784992700000001</v>
      </c>
      <c r="I10" s="3">
        <f t="shared" si="0"/>
        <v>0.137978509</v>
      </c>
      <c r="M10" s="2">
        <v>4.1626876899999998E-4</v>
      </c>
      <c r="N10" s="2">
        <v>4.1352081500000001E-4</v>
      </c>
      <c r="O10" s="2">
        <v>4.0043404400000001E-4</v>
      </c>
      <c r="P10" s="2">
        <v>4.1544897199999998E-4</v>
      </c>
      <c r="Q10" s="2">
        <v>4.0115061000000002E-4</v>
      </c>
      <c r="R10" s="2">
        <v>4.2745214899999999E-4</v>
      </c>
      <c r="S10" s="2">
        <v>3.88639251E-4</v>
      </c>
      <c r="T10" s="2">
        <v>4.0060566999999998E-4</v>
      </c>
    </row>
    <row r="11" spans="1:20" x14ac:dyDescent="0.25">
      <c r="M11" s="2">
        <v>8.3247816699999998E-4</v>
      </c>
      <c r="N11" s="2">
        <v>8.2078797300000003E-4</v>
      </c>
      <c r="O11" s="2">
        <v>8.1655860399999997E-4</v>
      </c>
      <c r="P11" s="2">
        <v>8.3343271400000002E-4</v>
      </c>
      <c r="Q11" s="2">
        <v>8.1965647400000004E-4</v>
      </c>
      <c r="R11" s="2">
        <v>8.2085363100000005E-4</v>
      </c>
      <c r="S11" s="2">
        <v>8.1815233000000003E-4</v>
      </c>
      <c r="T11" s="2">
        <v>8.1713689699999998E-4</v>
      </c>
    </row>
    <row r="12" spans="1:20" x14ac:dyDescent="0.25">
      <c r="A12" s="4" t="s">
        <v>3</v>
      </c>
      <c r="B12" s="4"/>
      <c r="C12" s="4"/>
      <c r="D12" s="4"/>
      <c r="E12" s="4"/>
      <c r="F12" s="4"/>
      <c r="G12" s="4"/>
      <c r="H12" s="4"/>
      <c r="I12" s="4"/>
      <c r="M12" s="2">
        <v>4.6998500000000002E-3</v>
      </c>
      <c r="N12" s="2">
        <v>4.6635950000000004E-3</v>
      </c>
      <c r="O12" s="2">
        <v>4.6729520000000002E-3</v>
      </c>
      <c r="P12" s="2">
        <v>4.7036530000000003E-3</v>
      </c>
      <c r="Q12" s="2">
        <v>4.6629150000000001E-3</v>
      </c>
      <c r="R12" s="2">
        <v>4.6867339999999997E-3</v>
      </c>
      <c r="S12" s="2">
        <v>4.6987130000000002E-3</v>
      </c>
      <c r="T12" s="2">
        <v>4.694475E-3</v>
      </c>
    </row>
    <row r="13" spans="1:20" x14ac:dyDescent="0.25">
      <c r="A13" t="s">
        <v>0</v>
      </c>
      <c r="B13">
        <v>1</v>
      </c>
      <c r="C13">
        <v>2</v>
      </c>
      <c r="D13">
        <v>3</v>
      </c>
      <c r="E13">
        <v>4</v>
      </c>
      <c r="F13">
        <v>5</v>
      </c>
      <c r="G13">
        <v>6</v>
      </c>
      <c r="H13">
        <v>7</v>
      </c>
      <c r="I13">
        <v>8</v>
      </c>
      <c r="M13" s="2">
        <v>9.6651280000000003E-3</v>
      </c>
      <c r="N13" s="2">
        <v>9.6069729999999996E-3</v>
      </c>
      <c r="O13" s="2">
        <v>9.6211400000000002E-3</v>
      </c>
      <c r="P13" s="2">
        <v>9.6860820000000004E-3</v>
      </c>
      <c r="Q13" s="2">
        <v>9.6272830000000004E-3</v>
      </c>
      <c r="R13" s="2">
        <v>9.6334179999999995E-3</v>
      </c>
      <c r="S13" s="2">
        <v>9.6606560000000001E-3</v>
      </c>
      <c r="T13" s="2">
        <v>9.6279409999999992E-3</v>
      </c>
    </row>
    <row r="14" spans="1:20" x14ac:dyDescent="0.25">
      <c r="A14">
        <v>100</v>
      </c>
      <c r="B14" s="3">
        <f>M9*1000000</f>
        <v>140.62308800000002</v>
      </c>
      <c r="C14" s="3">
        <f t="shared" ref="C14:I14" si="2">N9*1000000</f>
        <v>130.05206699999999</v>
      </c>
      <c r="D14" s="3">
        <f t="shared" si="2"/>
        <v>151.96319099999999</v>
      </c>
      <c r="E14" s="3">
        <f t="shared" si="2"/>
        <v>135.72778000000002</v>
      </c>
      <c r="F14" s="3">
        <f t="shared" si="2"/>
        <v>147.1617</v>
      </c>
      <c r="G14" s="3">
        <f t="shared" si="2"/>
        <v>138.98707400000001</v>
      </c>
      <c r="H14" s="3">
        <f t="shared" si="2"/>
        <v>159.42650499999999</v>
      </c>
      <c r="I14" s="3">
        <f t="shared" si="2"/>
        <v>149.53935200000001</v>
      </c>
      <c r="M14" s="2">
        <v>4.9167178999999998E-2</v>
      </c>
      <c r="N14" s="2">
        <v>4.8775021000000002E-2</v>
      </c>
      <c r="O14" s="2">
        <v>4.8803959000000001E-2</v>
      </c>
      <c r="P14" s="2">
        <v>4.9220745000000003E-2</v>
      </c>
      <c r="Q14" s="2">
        <v>4.8881341000000002E-2</v>
      </c>
      <c r="R14" s="2">
        <v>4.8878860000000003E-2</v>
      </c>
      <c r="S14" s="2">
        <v>4.8939864999999999E-2</v>
      </c>
      <c r="T14" s="2">
        <v>4.8893467000000003E-2</v>
      </c>
    </row>
    <row r="15" spans="1:20" x14ac:dyDescent="0.25">
      <c r="A15">
        <v>500</v>
      </c>
      <c r="B15" s="3">
        <f>M10*1000000</f>
        <v>416.26876899999996</v>
      </c>
      <c r="C15" s="3">
        <f t="shared" ref="C15:C20" si="3">N10*1000000</f>
        <v>413.52081500000003</v>
      </c>
      <c r="D15" s="3">
        <f t="shared" ref="D15:D20" si="4">O10*1000000</f>
        <v>400.43404400000003</v>
      </c>
      <c r="E15" s="3">
        <f t="shared" ref="E15:E20" si="5">P10*1000000</f>
        <v>415.44897199999997</v>
      </c>
      <c r="F15" s="3">
        <f t="shared" ref="F15:F20" si="6">Q10*1000000</f>
        <v>401.15061000000003</v>
      </c>
      <c r="G15" s="3">
        <f t="shared" ref="G15:G20" si="7">R10*1000000</f>
        <v>427.45214899999996</v>
      </c>
      <c r="H15" s="3">
        <f t="shared" ref="H15:H20" si="8">S10*1000000</f>
        <v>388.639251</v>
      </c>
      <c r="I15" s="3">
        <f t="shared" ref="I15:I20" si="9">T10*1000000</f>
        <v>400.60566999999998</v>
      </c>
      <c r="M15" s="2">
        <v>9.8323076999999995E-2</v>
      </c>
      <c r="N15" s="2">
        <v>9.7828506999999995E-2</v>
      </c>
      <c r="O15" s="2">
        <v>9.7695677999999994E-2</v>
      </c>
      <c r="P15" s="2">
        <v>9.8404527000000006E-2</v>
      </c>
      <c r="Q15" s="2">
        <v>9.7643710999999994E-2</v>
      </c>
      <c r="R15" s="2">
        <v>9.8148114999999994E-2</v>
      </c>
      <c r="S15" s="2">
        <v>9.7977623E-2</v>
      </c>
      <c r="T15" s="2">
        <v>9.7819231000000006E-2</v>
      </c>
    </row>
    <row r="16" spans="1:20" x14ac:dyDescent="0.25">
      <c r="A16">
        <v>1000</v>
      </c>
      <c r="B16" s="3">
        <f t="shared" ref="B16:B20" si="10">M11*1000000</f>
        <v>832.47816699999998</v>
      </c>
      <c r="C16" s="3">
        <f>N11*1000000</f>
        <v>820.78797300000008</v>
      </c>
      <c r="D16" s="3">
        <f t="shared" si="4"/>
        <v>816.55860399999995</v>
      </c>
      <c r="E16" s="3">
        <f t="shared" si="5"/>
        <v>833.43271400000003</v>
      </c>
      <c r="F16" s="3">
        <f t="shared" si="6"/>
        <v>819.656474</v>
      </c>
      <c r="G16" s="3">
        <f t="shared" si="7"/>
        <v>820.85363100000006</v>
      </c>
      <c r="H16" s="3">
        <f t="shared" si="8"/>
        <v>818.15233000000001</v>
      </c>
      <c r="I16" s="3">
        <f t="shared" si="9"/>
        <v>817.13689699999998</v>
      </c>
      <c r="M16" s="2">
        <v>0.13762374199999999</v>
      </c>
      <c r="N16" s="2">
        <v>0.136526078</v>
      </c>
      <c r="O16" s="2">
        <v>0.13652241200000001</v>
      </c>
      <c r="P16" s="2">
        <v>0.13746804000000001</v>
      </c>
      <c r="Q16" s="2">
        <v>0.136401415</v>
      </c>
      <c r="R16" s="2">
        <v>0.13687759599999999</v>
      </c>
      <c r="S16" s="2">
        <v>0.13686870000000001</v>
      </c>
      <c r="T16" s="2">
        <v>0.13662481300000001</v>
      </c>
    </row>
    <row r="17" spans="1:20" x14ac:dyDescent="0.25">
      <c r="A17">
        <v>5000</v>
      </c>
      <c r="B17" s="3">
        <f t="shared" si="10"/>
        <v>4699.8500000000004</v>
      </c>
      <c r="C17" s="3">
        <f t="shared" si="3"/>
        <v>4663.5950000000003</v>
      </c>
      <c r="D17" s="3">
        <f t="shared" si="4"/>
        <v>4672.9520000000002</v>
      </c>
      <c r="E17" s="3">
        <f t="shared" si="5"/>
        <v>4703.6530000000002</v>
      </c>
      <c r="F17" s="3">
        <f t="shared" si="6"/>
        <v>4662.915</v>
      </c>
      <c r="G17" s="3">
        <f t="shared" si="7"/>
        <v>4686.7339999999995</v>
      </c>
      <c r="H17" s="3">
        <f t="shared" si="8"/>
        <v>4698.7130000000006</v>
      </c>
      <c r="I17" s="3">
        <f t="shared" si="9"/>
        <v>4694.4750000000004</v>
      </c>
      <c r="M17" s="2">
        <v>9.9999997000000003E-5</v>
      </c>
      <c r="N17" s="2">
        <v>9.9999997000000003E-5</v>
      </c>
      <c r="O17" s="2">
        <v>9.9999997000000003E-5</v>
      </c>
      <c r="P17" s="2">
        <v>9.9999997000000003E-5</v>
      </c>
      <c r="Q17" s="2">
        <v>9.9999997000000003E-5</v>
      </c>
      <c r="R17" s="2">
        <v>9.9999997000000003E-5</v>
      </c>
      <c r="S17" s="2">
        <v>9.9999997000000003E-5</v>
      </c>
      <c r="T17" s="2">
        <v>9.9999997000000003E-5</v>
      </c>
    </row>
    <row r="18" spans="1:20" x14ac:dyDescent="0.25">
      <c r="A18">
        <v>10000</v>
      </c>
      <c r="B18" s="3">
        <f t="shared" si="10"/>
        <v>9665.1280000000006</v>
      </c>
      <c r="C18" s="3">
        <f t="shared" si="3"/>
        <v>9606.973</v>
      </c>
      <c r="D18" s="3">
        <f t="shared" si="4"/>
        <v>9621.14</v>
      </c>
      <c r="E18" s="3">
        <f t="shared" si="5"/>
        <v>9686.0820000000003</v>
      </c>
      <c r="F18" s="3">
        <f t="shared" si="6"/>
        <v>9627.2830000000013</v>
      </c>
      <c r="G18" s="3">
        <f t="shared" si="7"/>
        <v>9633.4179999999997</v>
      </c>
      <c r="H18" s="3">
        <f t="shared" si="8"/>
        <v>9660.6560000000009</v>
      </c>
      <c r="I18" s="3">
        <f t="shared" si="9"/>
        <v>9627.9409999999989</v>
      </c>
      <c r="M18" s="2">
        <v>5.0000002400000002E-4</v>
      </c>
      <c r="N18" s="2">
        <v>5.0000002400000002E-4</v>
      </c>
      <c r="O18" s="2">
        <v>5.0000002400000002E-4</v>
      </c>
      <c r="P18" s="2">
        <v>5.0000002400000002E-4</v>
      </c>
      <c r="Q18" s="2">
        <v>5.0000002400000002E-4</v>
      </c>
      <c r="R18" s="2">
        <v>5.0000002400000002E-4</v>
      </c>
      <c r="S18" s="2">
        <v>5.0000002400000002E-4</v>
      </c>
      <c r="T18" s="2">
        <v>5.0000002400000002E-4</v>
      </c>
    </row>
    <row r="19" spans="1:20" x14ac:dyDescent="0.25">
      <c r="A19">
        <v>50000</v>
      </c>
      <c r="B19" s="3">
        <f t="shared" si="10"/>
        <v>49167.178999999996</v>
      </c>
      <c r="C19" s="3">
        <f t="shared" si="3"/>
        <v>48775.021000000001</v>
      </c>
      <c r="D19" s="3">
        <f t="shared" si="4"/>
        <v>48803.959000000003</v>
      </c>
      <c r="E19" s="3">
        <f t="shared" si="5"/>
        <v>49220.745000000003</v>
      </c>
      <c r="F19" s="3">
        <f t="shared" si="6"/>
        <v>48881.341</v>
      </c>
      <c r="G19" s="3">
        <f t="shared" si="7"/>
        <v>48878.86</v>
      </c>
      <c r="H19" s="3">
        <f t="shared" si="8"/>
        <v>48939.864999999998</v>
      </c>
      <c r="I19" s="3">
        <f t="shared" si="9"/>
        <v>48893.467000000004</v>
      </c>
      <c r="M19" s="2">
        <v>1E-3</v>
      </c>
      <c r="N19" s="2">
        <v>1E-3</v>
      </c>
      <c r="O19" s="2">
        <v>1E-3</v>
      </c>
      <c r="P19" s="2">
        <v>1E-3</v>
      </c>
      <c r="Q19" s="2">
        <v>1E-3</v>
      </c>
      <c r="R19" s="2">
        <v>1E-3</v>
      </c>
      <c r="S19" s="2">
        <v>1E-3</v>
      </c>
      <c r="T19" s="2">
        <v>1E-3</v>
      </c>
    </row>
    <row r="20" spans="1:20" x14ac:dyDescent="0.25">
      <c r="A20">
        <v>100000</v>
      </c>
      <c r="B20" s="3">
        <f t="shared" si="10"/>
        <v>98323.07699999999</v>
      </c>
      <c r="C20" s="3">
        <f t="shared" si="3"/>
        <v>97828.506999999998</v>
      </c>
      <c r="D20" s="3">
        <f t="shared" si="4"/>
        <v>97695.678</v>
      </c>
      <c r="E20" s="3">
        <f t="shared" si="5"/>
        <v>98404.527000000002</v>
      </c>
      <c r="F20" s="3">
        <f t="shared" si="6"/>
        <v>97643.710999999996</v>
      </c>
      <c r="G20" s="3">
        <f t="shared" si="7"/>
        <v>98148.114999999991</v>
      </c>
      <c r="H20" s="3">
        <f t="shared" si="8"/>
        <v>97977.623000000007</v>
      </c>
      <c r="I20" s="3">
        <f t="shared" si="9"/>
        <v>97819.231</v>
      </c>
      <c r="M20" s="2">
        <v>5.0000000000000001E-3</v>
      </c>
      <c r="N20" s="2">
        <v>5.0000000000000001E-3</v>
      </c>
      <c r="O20" s="2">
        <v>5.0000000000000001E-3</v>
      </c>
      <c r="P20" s="2">
        <v>5.0000000000000001E-3</v>
      </c>
      <c r="Q20" s="2">
        <v>5.0000000000000001E-3</v>
      </c>
      <c r="R20" s="2">
        <v>5.0000000000000001E-3</v>
      </c>
      <c r="S20" s="2">
        <v>5.0000000000000001E-3</v>
      </c>
      <c r="T20" s="2">
        <v>5.0000000000000001E-3</v>
      </c>
    </row>
    <row r="21" spans="1:20" x14ac:dyDescent="0.25">
      <c r="A21">
        <v>140000</v>
      </c>
      <c r="B21" s="3">
        <f t="shared" ref="B21:I21" si="11">M16*1000000</f>
        <v>137623.742</v>
      </c>
      <c r="C21" s="3">
        <f t="shared" si="11"/>
        <v>136526.07800000001</v>
      </c>
      <c r="D21" s="3">
        <f t="shared" si="11"/>
        <v>136522.41200000001</v>
      </c>
      <c r="E21" s="3">
        <f t="shared" si="11"/>
        <v>137468.04</v>
      </c>
      <c r="F21" s="3">
        <f t="shared" si="11"/>
        <v>136401.41500000001</v>
      </c>
      <c r="G21" s="3">
        <f t="shared" si="11"/>
        <v>136877.59599999999</v>
      </c>
      <c r="H21" s="3">
        <f t="shared" si="11"/>
        <v>136868.70000000001</v>
      </c>
      <c r="I21" s="3">
        <f t="shared" si="11"/>
        <v>136624.81300000002</v>
      </c>
      <c r="M21" s="2">
        <v>0.01</v>
      </c>
      <c r="N21" s="2">
        <v>0.01</v>
      </c>
      <c r="O21" s="2">
        <v>0.01</v>
      </c>
      <c r="P21" s="2">
        <v>0.01</v>
      </c>
      <c r="Q21" s="2">
        <v>0.01</v>
      </c>
      <c r="R21" s="2">
        <v>0.01</v>
      </c>
      <c r="S21" s="2">
        <v>0.01</v>
      </c>
      <c r="T21" s="2">
        <v>0.01</v>
      </c>
    </row>
    <row r="22" spans="1:20" x14ac:dyDescent="0.25">
      <c r="M22" s="2">
        <v>4.9648944E-2</v>
      </c>
      <c r="N22" s="2">
        <v>4.9422151999999997E-2</v>
      </c>
      <c r="O22" s="2">
        <v>4.9366750000000001E-2</v>
      </c>
      <c r="P22" s="2">
        <v>4.9650144E-2</v>
      </c>
      <c r="Q22" s="2">
        <v>4.9479201E-2</v>
      </c>
      <c r="R22" s="2">
        <v>4.9541768E-2</v>
      </c>
      <c r="S22" s="2">
        <v>4.9420486999999999E-2</v>
      </c>
      <c r="T22" s="2">
        <v>4.9485080000000001E-2</v>
      </c>
    </row>
    <row r="23" spans="1:20" x14ac:dyDescent="0.25">
      <c r="A23" s="5" t="s">
        <v>4</v>
      </c>
      <c r="B23" s="5"/>
      <c r="C23" s="5"/>
      <c r="D23" s="5"/>
      <c r="E23" s="5"/>
      <c r="F23" s="5"/>
      <c r="G23" s="5"/>
      <c r="H23" s="5"/>
      <c r="I23" s="5"/>
      <c r="M23" s="2">
        <v>9.9197707999999996E-2</v>
      </c>
      <c r="N23" s="2">
        <v>9.8801247999999994E-2</v>
      </c>
      <c r="O23" s="2">
        <v>9.8655022999999994E-2</v>
      </c>
      <c r="P23" s="2">
        <v>9.9213228000000001E-2</v>
      </c>
      <c r="Q23" s="2">
        <v>9.8898418000000002E-2</v>
      </c>
      <c r="R23" s="2">
        <v>9.8980001999999997E-2</v>
      </c>
      <c r="S23" s="2">
        <v>9.8801970000000003E-2</v>
      </c>
      <c r="T23" s="2">
        <v>9.8901956999999999E-2</v>
      </c>
    </row>
    <row r="24" spans="1:20" x14ac:dyDescent="0.25">
      <c r="A24" t="s">
        <v>0</v>
      </c>
      <c r="B24">
        <v>1</v>
      </c>
      <c r="C24">
        <v>2</v>
      </c>
      <c r="D24">
        <v>3</v>
      </c>
      <c r="E24">
        <v>4</v>
      </c>
      <c r="F24">
        <v>5</v>
      </c>
      <c r="G24">
        <v>6</v>
      </c>
      <c r="H24">
        <v>7</v>
      </c>
      <c r="I24">
        <v>8</v>
      </c>
      <c r="M24" s="2">
        <v>0.13836736999999999</v>
      </c>
      <c r="N24" s="2">
        <v>0.13784755800000001</v>
      </c>
      <c r="O24" s="2">
        <v>0.137628257</v>
      </c>
      <c r="P24" s="2">
        <v>0.13840269999999999</v>
      </c>
      <c r="Q24" s="2">
        <v>0.13797804699999999</v>
      </c>
      <c r="R24" s="2">
        <v>0.13806575500000001</v>
      </c>
      <c r="S24" s="2">
        <v>0.13786093899999999</v>
      </c>
      <c r="T24" s="2">
        <v>0.13798896999999999</v>
      </c>
    </row>
    <row r="25" spans="1:20" x14ac:dyDescent="0.25">
      <c r="A25">
        <v>100</v>
      </c>
      <c r="B25" s="1">
        <f>B14-B3</f>
        <v>140.62298800000303</v>
      </c>
      <c r="C25" s="1">
        <f t="shared" ref="C25:I25" si="12">C14-C3</f>
        <v>130.051967000003</v>
      </c>
      <c r="D25" s="1">
        <f t="shared" si="12"/>
        <v>151.963091000003</v>
      </c>
      <c r="E25" s="1">
        <f t="shared" si="12"/>
        <v>135.72768000000303</v>
      </c>
      <c r="F25" s="1">
        <f t="shared" si="12"/>
        <v>147.16160000000301</v>
      </c>
      <c r="G25" s="1">
        <f t="shared" si="12"/>
        <v>138.98697400000302</v>
      </c>
      <c r="H25" s="1">
        <f t="shared" si="12"/>
        <v>159.426405000003</v>
      </c>
      <c r="I25" s="1">
        <f t="shared" si="12"/>
        <v>149.53925200000302</v>
      </c>
      <c r="M25" s="2">
        <v>1.21754252E-4</v>
      </c>
      <c r="N25" s="2">
        <v>1.20793382E-4</v>
      </c>
      <c r="O25" s="2">
        <v>1.22003032E-4</v>
      </c>
      <c r="P25" s="2">
        <v>1.2682679499999999E-4</v>
      </c>
      <c r="Q25" s="2">
        <v>1.2481863100000001E-4</v>
      </c>
      <c r="R25" s="2">
        <v>1.26072264E-4</v>
      </c>
      <c r="S25" s="2">
        <v>1.2147550299999999E-4</v>
      </c>
      <c r="T25" s="2">
        <v>1.1922544900000001E-4</v>
      </c>
    </row>
    <row r="26" spans="1:20" x14ac:dyDescent="0.25">
      <c r="A26">
        <v>500</v>
      </c>
      <c r="B26" s="1">
        <f t="shared" ref="B26:I26" si="13">B15-B4</f>
        <v>416.26826899997599</v>
      </c>
      <c r="C26" s="1">
        <f t="shared" si="13"/>
        <v>413.52031499997605</v>
      </c>
      <c r="D26" s="1">
        <f t="shared" si="13"/>
        <v>400.43354399997605</v>
      </c>
      <c r="E26" s="1">
        <f t="shared" si="13"/>
        <v>415.44847199997599</v>
      </c>
      <c r="F26" s="1">
        <f t="shared" si="13"/>
        <v>401.15010999997605</v>
      </c>
      <c r="G26" s="1">
        <f t="shared" si="13"/>
        <v>427.45164899997599</v>
      </c>
      <c r="H26" s="1">
        <f t="shared" si="13"/>
        <v>388.63875099997603</v>
      </c>
      <c r="I26" s="1">
        <f t="shared" si="13"/>
        <v>400.605169999976</v>
      </c>
      <c r="M26" s="2">
        <v>4.7682001600000002E-4</v>
      </c>
      <c r="N26" s="2">
        <v>4.7615493500000001E-4</v>
      </c>
      <c r="O26" s="2">
        <v>4.7731155099999998E-4</v>
      </c>
      <c r="P26" s="2">
        <v>4.7420134099999999E-4</v>
      </c>
      <c r="Q26" s="2">
        <v>4.7280560799999998E-4</v>
      </c>
      <c r="R26" s="2">
        <v>4.7671387400000001E-4</v>
      </c>
      <c r="S26" s="2">
        <v>4.7571072399999999E-4</v>
      </c>
      <c r="T26" s="2">
        <v>4.6621434699999997E-4</v>
      </c>
    </row>
    <row r="27" spans="1:20" x14ac:dyDescent="0.25">
      <c r="A27">
        <v>1000</v>
      </c>
      <c r="B27" s="1">
        <f t="shared" ref="B27:I27" si="14">B16-B5</f>
        <v>832.47716700000001</v>
      </c>
      <c r="C27" s="1">
        <f t="shared" si="14"/>
        <v>820.7869730000001</v>
      </c>
      <c r="D27" s="1">
        <f t="shared" si="14"/>
        <v>816.55760399999997</v>
      </c>
      <c r="E27" s="1">
        <f t="shared" si="14"/>
        <v>833.43171400000006</v>
      </c>
      <c r="F27" s="1">
        <f t="shared" si="14"/>
        <v>819.65547400000003</v>
      </c>
      <c r="G27" s="1">
        <f t="shared" si="14"/>
        <v>820.85263100000009</v>
      </c>
      <c r="H27" s="1">
        <f t="shared" si="14"/>
        <v>818.15133000000003</v>
      </c>
      <c r="I27" s="1">
        <f t="shared" si="14"/>
        <v>817.135897</v>
      </c>
      <c r="M27" s="2">
        <v>9.7306759599999999E-4</v>
      </c>
      <c r="N27" s="2">
        <v>9.6003862599999996E-4</v>
      </c>
      <c r="O27" s="2">
        <v>9.7187486199999998E-4</v>
      </c>
      <c r="P27" s="2">
        <v>9.7793142800000005E-4</v>
      </c>
      <c r="Q27" s="2">
        <v>9.5944979699999998E-4</v>
      </c>
      <c r="R27" s="2">
        <v>9.7522459700000001E-4</v>
      </c>
      <c r="S27" s="2">
        <v>9.7100000099999996E-4</v>
      </c>
      <c r="T27" s="2">
        <v>9.72567359E-4</v>
      </c>
    </row>
    <row r="28" spans="1:20" x14ac:dyDescent="0.25">
      <c r="A28">
        <v>5000</v>
      </c>
      <c r="B28" s="1">
        <f t="shared" ref="B28:I28" si="15">B17-B6</f>
        <v>4699.8450000000003</v>
      </c>
      <c r="C28" s="1">
        <f t="shared" si="15"/>
        <v>4663.59</v>
      </c>
      <c r="D28" s="1">
        <f t="shared" si="15"/>
        <v>4672.9470000000001</v>
      </c>
      <c r="E28" s="1">
        <f t="shared" si="15"/>
        <v>4703.6480000000001</v>
      </c>
      <c r="F28" s="1">
        <f t="shared" si="15"/>
        <v>4662.91</v>
      </c>
      <c r="G28" s="1">
        <f t="shared" si="15"/>
        <v>4686.7289999999994</v>
      </c>
      <c r="H28" s="1">
        <f t="shared" si="15"/>
        <v>4698.7080000000005</v>
      </c>
      <c r="I28" s="1">
        <f t="shared" si="15"/>
        <v>4694.47</v>
      </c>
      <c r="M28" s="2">
        <v>4.9523889999999997E-3</v>
      </c>
      <c r="N28" s="2">
        <v>4.9363870000000004E-3</v>
      </c>
      <c r="O28" s="2">
        <v>4.9431659999999997E-3</v>
      </c>
      <c r="P28" s="2">
        <v>4.9300539999999997E-3</v>
      </c>
      <c r="Q28" s="2">
        <v>4.9443910000000002E-3</v>
      </c>
      <c r="R28" s="2">
        <v>4.9511690000000001E-3</v>
      </c>
      <c r="S28" s="2">
        <v>4.9516289999999999E-3</v>
      </c>
      <c r="T28" s="2">
        <v>4.9385399999999999E-3</v>
      </c>
    </row>
    <row r="29" spans="1:20" x14ac:dyDescent="0.25">
      <c r="A29">
        <v>10000</v>
      </c>
      <c r="B29" s="1">
        <f t="shared" ref="B29:I29" si="16">B18-B7</f>
        <v>9665.1180000000004</v>
      </c>
      <c r="C29" s="1">
        <f t="shared" si="16"/>
        <v>9606.9629999999997</v>
      </c>
      <c r="D29" s="1">
        <f t="shared" si="16"/>
        <v>9621.1299999999992</v>
      </c>
      <c r="E29" s="1">
        <f t="shared" si="16"/>
        <v>9686.0720000000001</v>
      </c>
      <c r="F29" s="1">
        <f t="shared" si="16"/>
        <v>9627.273000000001</v>
      </c>
      <c r="G29" s="1">
        <f t="shared" si="16"/>
        <v>9633.4079999999994</v>
      </c>
      <c r="H29" s="1">
        <f t="shared" si="16"/>
        <v>9660.6460000000006</v>
      </c>
      <c r="I29" s="1">
        <f t="shared" si="16"/>
        <v>9627.9309999999987</v>
      </c>
      <c r="M29" s="2">
        <v>9.9412860000000006E-3</v>
      </c>
      <c r="N29" s="2">
        <v>9.8977070000000004E-3</v>
      </c>
      <c r="O29" s="2">
        <v>9.9254010000000004E-3</v>
      </c>
      <c r="P29" s="2">
        <v>9.9105949999999995E-3</v>
      </c>
      <c r="Q29" s="2">
        <v>9.9115539999999995E-3</v>
      </c>
      <c r="R29" s="2">
        <v>9.9514819999999993E-3</v>
      </c>
      <c r="S29" s="2">
        <v>9.9236340000000006E-3</v>
      </c>
      <c r="T29" s="2">
        <v>9.9391700000000006E-3</v>
      </c>
    </row>
    <row r="30" spans="1:20" x14ac:dyDescent="0.25">
      <c r="A30">
        <v>50000</v>
      </c>
      <c r="B30" s="1">
        <f t="shared" ref="B30:I30" si="17">B19-B8</f>
        <v>49167.129353476994</v>
      </c>
      <c r="C30" s="1">
        <f t="shared" si="17"/>
        <v>48774.971578365003</v>
      </c>
      <c r="D30" s="1">
        <f t="shared" si="17"/>
        <v>48803.909634152005</v>
      </c>
      <c r="E30" s="1">
        <f t="shared" si="17"/>
        <v>49220.695351071001</v>
      </c>
      <c r="F30" s="1">
        <f t="shared" si="17"/>
        <v>48881.291520455998</v>
      </c>
      <c r="G30" s="1">
        <f t="shared" si="17"/>
        <v>48878.810460385997</v>
      </c>
      <c r="H30" s="1">
        <f t="shared" si="17"/>
        <v>48939.815579460999</v>
      </c>
      <c r="I30" s="1">
        <f t="shared" si="17"/>
        <v>48893.417515971007</v>
      </c>
      <c r="M30" s="2">
        <v>4.9533903999999997E-2</v>
      </c>
      <c r="N30" s="2">
        <v>4.9345898999999999E-2</v>
      </c>
      <c r="O30" s="2">
        <v>4.9606129999999998E-2</v>
      </c>
      <c r="P30" s="2">
        <v>4.9413449999999998E-2</v>
      </c>
      <c r="Q30" s="2">
        <v>4.9467183999999997E-2</v>
      </c>
      <c r="R30" s="2">
        <v>4.9669549E-2</v>
      </c>
      <c r="S30" s="2">
        <v>4.9623596999999998E-2</v>
      </c>
      <c r="T30" s="2">
        <v>4.9498691999999997E-2</v>
      </c>
    </row>
    <row r="31" spans="1:20" x14ac:dyDescent="0.25">
      <c r="A31">
        <v>100000</v>
      </c>
      <c r="B31" s="1">
        <f t="shared" ref="B31:I31" si="18">B20-B9</f>
        <v>98322.977801881992</v>
      </c>
      <c r="C31" s="1">
        <f t="shared" si="18"/>
        <v>97828.408201687998</v>
      </c>
      <c r="D31" s="1">
        <f t="shared" si="18"/>
        <v>97695.579354261004</v>
      </c>
      <c r="E31" s="1">
        <f t="shared" si="18"/>
        <v>98404.427796800999</v>
      </c>
      <c r="F31" s="1">
        <f t="shared" si="18"/>
        <v>97643.612107586989</v>
      </c>
      <c r="G31" s="1">
        <f t="shared" si="18"/>
        <v>98148.016027358986</v>
      </c>
      <c r="H31" s="1">
        <f t="shared" si="18"/>
        <v>97977.524202492001</v>
      </c>
      <c r="I31" s="1">
        <f t="shared" si="18"/>
        <v>97819.132102639996</v>
      </c>
      <c r="M31" s="2">
        <v>9.8989137000000005E-2</v>
      </c>
      <c r="N31" s="2">
        <v>9.8584621999999997E-2</v>
      </c>
      <c r="O31" s="2">
        <v>9.9155969999999996E-2</v>
      </c>
      <c r="P31" s="2">
        <v>9.8913893000000003E-2</v>
      </c>
      <c r="Q31" s="2">
        <v>9.8725349000000004E-2</v>
      </c>
      <c r="R31" s="2">
        <v>9.9280454000000004E-2</v>
      </c>
      <c r="S31" s="2">
        <v>9.9077529999999997E-2</v>
      </c>
      <c r="T31" s="2">
        <v>9.8777868000000005E-2</v>
      </c>
    </row>
    <row r="32" spans="1:20" x14ac:dyDescent="0.25">
      <c r="A32">
        <v>140000</v>
      </c>
      <c r="B32" s="1">
        <f t="shared" ref="B32:I32" si="19">B21-B10</f>
        <v>137623.60362139498</v>
      </c>
      <c r="C32" s="1">
        <f t="shared" si="19"/>
        <v>136525.94014645202</v>
      </c>
      <c r="D32" s="1">
        <f t="shared" si="19"/>
        <v>136522.27438499001</v>
      </c>
      <c r="E32" s="1">
        <f t="shared" si="19"/>
        <v>137467.90161088901</v>
      </c>
      <c r="F32" s="1">
        <f t="shared" si="19"/>
        <v>136401.27703056601</v>
      </c>
      <c r="G32" s="1">
        <f t="shared" si="19"/>
        <v>136877.45793773199</v>
      </c>
      <c r="H32" s="1">
        <f t="shared" si="19"/>
        <v>136868.562150073</v>
      </c>
      <c r="I32" s="1">
        <f t="shared" si="19"/>
        <v>136624.67502149101</v>
      </c>
      <c r="M32" s="2">
        <v>0.114988878</v>
      </c>
      <c r="N32" s="2">
        <v>0.11341332599999999</v>
      </c>
      <c r="O32" s="2">
        <v>0.115133464</v>
      </c>
      <c r="P32" s="2">
        <v>0.114165224</v>
      </c>
      <c r="Q32" s="2">
        <v>0.114818394</v>
      </c>
      <c r="R32" s="2">
        <v>0.115638897</v>
      </c>
      <c r="S32" s="2">
        <v>0.114336312</v>
      </c>
      <c r="T32" s="2">
        <v>0.114496373</v>
      </c>
    </row>
    <row r="33" spans="1:20" x14ac:dyDescent="0.25">
      <c r="M33" s="2">
        <v>9.9999997000000003E-5</v>
      </c>
      <c r="N33" s="2">
        <v>9.9999997000000003E-5</v>
      </c>
      <c r="O33" s="2">
        <v>9.9999997000000003E-5</v>
      </c>
      <c r="P33" s="2">
        <v>9.9999997000000003E-5</v>
      </c>
      <c r="Q33" s="2">
        <v>9.9999997000000003E-5</v>
      </c>
      <c r="R33" s="2">
        <v>9.9999997000000003E-5</v>
      </c>
      <c r="S33" s="2">
        <v>9.9999997000000003E-5</v>
      </c>
      <c r="T33" s="2">
        <v>9.9999997000000003E-5</v>
      </c>
    </row>
    <row r="34" spans="1:20" x14ac:dyDescent="0.25">
      <c r="M34" s="2">
        <v>5.0000002400000002E-4</v>
      </c>
      <c r="N34" s="2">
        <v>5.0000002400000002E-4</v>
      </c>
      <c r="O34" s="2">
        <v>5.0000002400000002E-4</v>
      </c>
      <c r="P34" s="2">
        <v>5.0000002400000002E-4</v>
      </c>
      <c r="Q34" s="2">
        <v>5.0000002400000002E-4</v>
      </c>
      <c r="R34" s="2">
        <v>5.0000002400000002E-4</v>
      </c>
      <c r="S34" s="2">
        <v>5.0000002400000002E-4</v>
      </c>
      <c r="T34" s="2">
        <v>5.0000002400000002E-4</v>
      </c>
    </row>
    <row r="35" spans="1:20" x14ac:dyDescent="0.25">
      <c r="A35" s="4" t="s">
        <v>5</v>
      </c>
      <c r="B35" s="4"/>
      <c r="C35" s="4"/>
      <c r="D35" s="4"/>
      <c r="E35" s="4"/>
      <c r="F35" s="4"/>
      <c r="G35" s="4"/>
      <c r="H35" s="4"/>
      <c r="I35" s="4"/>
      <c r="M35" s="2">
        <v>1E-3</v>
      </c>
      <c r="N35" s="2">
        <v>1E-3</v>
      </c>
      <c r="O35" s="2">
        <v>1E-3</v>
      </c>
      <c r="P35" s="2">
        <v>1E-3</v>
      </c>
      <c r="Q35" s="2">
        <v>1E-3</v>
      </c>
      <c r="R35" s="2">
        <v>1E-3</v>
      </c>
      <c r="S35" s="2">
        <v>1E-3</v>
      </c>
      <c r="T35" s="2">
        <v>1E-3</v>
      </c>
    </row>
    <row r="36" spans="1:20" x14ac:dyDescent="0.25">
      <c r="A36" t="s">
        <v>1</v>
      </c>
      <c r="B36">
        <v>1</v>
      </c>
      <c r="C36">
        <v>2</v>
      </c>
      <c r="D36">
        <v>3</v>
      </c>
      <c r="E36">
        <v>4</v>
      </c>
      <c r="F36">
        <v>5</v>
      </c>
      <c r="G36">
        <v>6</v>
      </c>
      <c r="H36">
        <v>7</v>
      </c>
      <c r="I36">
        <v>8</v>
      </c>
      <c r="M36" s="2">
        <v>5.0000000000000001E-3</v>
      </c>
      <c r="N36" s="2">
        <v>5.0000000000000001E-3</v>
      </c>
      <c r="O36" s="2">
        <v>5.0000000000000001E-3</v>
      </c>
      <c r="P36" s="2">
        <v>5.0000000000000001E-3</v>
      </c>
      <c r="Q36" s="2">
        <v>5.0000000000000001E-3</v>
      </c>
      <c r="R36" s="2">
        <v>5.0000000000000001E-3</v>
      </c>
      <c r="S36" s="2">
        <v>5.0000000000000001E-3</v>
      </c>
      <c r="T36" s="2">
        <v>5.0000000000000001E-3</v>
      </c>
    </row>
    <row r="37" spans="1:20" x14ac:dyDescent="0.25">
      <c r="A37">
        <v>100</v>
      </c>
      <c r="B37" s="3">
        <f t="shared" ref="B37:I44" si="20">M17</f>
        <v>9.9999997000000003E-5</v>
      </c>
      <c r="C37" s="3">
        <f t="shared" si="20"/>
        <v>9.9999997000000003E-5</v>
      </c>
      <c r="D37" s="3">
        <f t="shared" si="20"/>
        <v>9.9999997000000003E-5</v>
      </c>
      <c r="E37" s="3">
        <f t="shared" si="20"/>
        <v>9.9999997000000003E-5</v>
      </c>
      <c r="F37" s="3">
        <f t="shared" si="20"/>
        <v>9.9999997000000003E-5</v>
      </c>
      <c r="G37" s="3">
        <f t="shared" si="20"/>
        <v>9.9999997000000003E-5</v>
      </c>
      <c r="H37" s="3">
        <f t="shared" si="20"/>
        <v>9.9999997000000003E-5</v>
      </c>
      <c r="I37" s="3">
        <f t="shared" si="20"/>
        <v>9.9999997000000003E-5</v>
      </c>
      <c r="M37" s="2">
        <v>0.01</v>
      </c>
      <c r="N37" s="2">
        <v>0.01</v>
      </c>
      <c r="O37" s="2">
        <v>0.01</v>
      </c>
      <c r="P37" s="2">
        <v>0.01</v>
      </c>
      <c r="Q37" s="2">
        <v>0.01</v>
      </c>
      <c r="R37" s="2">
        <v>0.01</v>
      </c>
      <c r="S37" s="2">
        <v>0.01</v>
      </c>
      <c r="T37" s="2">
        <v>0.01</v>
      </c>
    </row>
    <row r="38" spans="1:20" x14ac:dyDescent="0.25">
      <c r="A38">
        <v>500</v>
      </c>
      <c r="B38" s="3">
        <f t="shared" si="20"/>
        <v>5.0000002400000002E-4</v>
      </c>
      <c r="C38" s="3">
        <f t="shared" si="20"/>
        <v>5.0000002400000002E-4</v>
      </c>
      <c r="D38" s="3">
        <f t="shared" si="20"/>
        <v>5.0000002400000002E-4</v>
      </c>
      <c r="E38" s="3">
        <f t="shared" si="20"/>
        <v>5.0000002400000002E-4</v>
      </c>
      <c r="F38" s="3">
        <f t="shared" si="20"/>
        <v>5.0000002400000002E-4</v>
      </c>
      <c r="G38" s="3">
        <f t="shared" si="20"/>
        <v>5.0000002400000002E-4</v>
      </c>
      <c r="H38" s="3">
        <f t="shared" si="20"/>
        <v>5.0000002400000002E-4</v>
      </c>
      <c r="I38" s="3">
        <f t="shared" si="20"/>
        <v>5.0000002400000002E-4</v>
      </c>
      <c r="M38" s="2">
        <v>4.9650811000000003E-2</v>
      </c>
      <c r="N38" s="2">
        <v>4.9422219000000003E-2</v>
      </c>
      <c r="O38" s="2">
        <v>4.9367290000000001E-2</v>
      </c>
      <c r="P38" s="2">
        <v>4.9646094000000002E-2</v>
      </c>
      <c r="Q38" s="2">
        <v>4.9480746999999999E-2</v>
      </c>
      <c r="R38" s="2">
        <v>4.9538441000000003E-2</v>
      </c>
      <c r="S38" s="2">
        <v>4.9419998999999999E-2</v>
      </c>
      <c r="T38" s="2">
        <v>4.9482878000000001E-2</v>
      </c>
    </row>
    <row r="39" spans="1:20" x14ac:dyDescent="0.25">
      <c r="A39">
        <v>1000</v>
      </c>
      <c r="B39" s="3">
        <f t="shared" si="20"/>
        <v>1E-3</v>
      </c>
      <c r="C39" s="3">
        <f t="shared" si="20"/>
        <v>1E-3</v>
      </c>
      <c r="D39" s="3">
        <f t="shared" si="20"/>
        <v>1E-3</v>
      </c>
      <c r="E39" s="3">
        <f t="shared" si="20"/>
        <v>1E-3</v>
      </c>
      <c r="F39" s="3">
        <f t="shared" si="20"/>
        <v>1E-3</v>
      </c>
      <c r="G39" s="3">
        <f t="shared" si="20"/>
        <v>1E-3</v>
      </c>
      <c r="H39" s="3">
        <f t="shared" si="20"/>
        <v>1E-3</v>
      </c>
      <c r="I39" s="3">
        <f t="shared" si="20"/>
        <v>1E-3</v>
      </c>
      <c r="M39" s="2">
        <v>9.9202491000000004E-2</v>
      </c>
      <c r="N39" s="2">
        <v>9.8805428000000001E-2</v>
      </c>
      <c r="O39" s="2">
        <v>9.8655857E-2</v>
      </c>
      <c r="P39" s="2">
        <v>9.9210665000000003E-2</v>
      </c>
      <c r="Q39" s="2">
        <v>9.8896242999999995E-2</v>
      </c>
      <c r="R39" s="2">
        <v>9.8978109999999994E-2</v>
      </c>
      <c r="S39" s="2">
        <v>9.8800674000000005E-2</v>
      </c>
      <c r="T39" s="2">
        <v>9.8902008999999999E-2</v>
      </c>
    </row>
    <row r="40" spans="1:20" x14ac:dyDescent="0.25">
      <c r="A40">
        <v>5000</v>
      </c>
      <c r="B40" s="3">
        <f t="shared" si="20"/>
        <v>5.0000000000000001E-3</v>
      </c>
      <c r="C40" s="3">
        <f t="shared" si="20"/>
        <v>5.0000000000000001E-3</v>
      </c>
      <c r="D40" s="3">
        <f t="shared" si="20"/>
        <v>5.0000000000000001E-3</v>
      </c>
      <c r="E40" s="3">
        <f t="shared" si="20"/>
        <v>5.0000000000000001E-3</v>
      </c>
      <c r="F40" s="3">
        <f t="shared" si="20"/>
        <v>5.0000000000000001E-3</v>
      </c>
      <c r="G40" s="3">
        <f t="shared" si="20"/>
        <v>5.0000000000000001E-3</v>
      </c>
      <c r="H40" s="3">
        <f t="shared" si="20"/>
        <v>5.0000000000000001E-3</v>
      </c>
      <c r="I40" s="3">
        <f t="shared" si="20"/>
        <v>5.0000000000000001E-3</v>
      </c>
      <c r="M40" s="2">
        <v>0.138369307</v>
      </c>
      <c r="N40" s="2">
        <v>0.137844458</v>
      </c>
      <c r="O40" s="2">
        <v>0.137627363</v>
      </c>
      <c r="P40" s="2">
        <v>0.138406157</v>
      </c>
      <c r="Q40" s="2">
        <v>0.137964159</v>
      </c>
      <c r="R40" s="2">
        <v>0.13806495099999999</v>
      </c>
      <c r="S40" s="2">
        <v>0.13785430800000001</v>
      </c>
      <c r="T40" s="2">
        <v>0.13798032700000001</v>
      </c>
    </row>
    <row r="41" spans="1:20" x14ac:dyDescent="0.25">
      <c r="A41">
        <v>10000</v>
      </c>
      <c r="B41" s="3">
        <f t="shared" si="20"/>
        <v>0.01</v>
      </c>
      <c r="C41" s="3">
        <f t="shared" si="20"/>
        <v>0.01</v>
      </c>
      <c r="D41" s="3">
        <f t="shared" si="20"/>
        <v>0.01</v>
      </c>
      <c r="E41" s="3">
        <f t="shared" si="20"/>
        <v>0.01</v>
      </c>
      <c r="F41" s="3">
        <f t="shared" si="20"/>
        <v>0.01</v>
      </c>
      <c r="G41" s="3">
        <f t="shared" si="20"/>
        <v>0.01</v>
      </c>
      <c r="H41" s="3">
        <f t="shared" si="20"/>
        <v>0.01</v>
      </c>
      <c r="I41" s="3">
        <f t="shared" si="20"/>
        <v>0.01</v>
      </c>
      <c r="M41" s="2">
        <v>4.2472046300000001E-4</v>
      </c>
      <c r="N41" s="2">
        <v>4.2089994499999999E-4</v>
      </c>
      <c r="O41" s="2">
        <v>3.9224186899999998E-4</v>
      </c>
      <c r="P41" s="2">
        <v>4.07368847E-4</v>
      </c>
      <c r="Q41" s="2">
        <v>4.3490721100000003E-4</v>
      </c>
      <c r="R41" s="2">
        <v>4.0809460900000002E-4</v>
      </c>
      <c r="S41" s="2">
        <v>4.1191294399999998E-4</v>
      </c>
      <c r="T41" s="2">
        <v>4.3565040699999999E-4</v>
      </c>
    </row>
    <row r="42" spans="1:20" x14ac:dyDescent="0.25">
      <c r="A42">
        <v>50000</v>
      </c>
      <c r="B42" s="3">
        <f t="shared" si="20"/>
        <v>4.9648944E-2</v>
      </c>
      <c r="C42" s="3">
        <f t="shared" si="20"/>
        <v>4.9422151999999997E-2</v>
      </c>
      <c r="D42" s="3">
        <f t="shared" si="20"/>
        <v>4.9366750000000001E-2</v>
      </c>
      <c r="E42" s="3">
        <f t="shared" si="20"/>
        <v>4.9650144E-2</v>
      </c>
      <c r="F42" s="3">
        <f t="shared" si="20"/>
        <v>4.9479201E-2</v>
      </c>
      <c r="G42" s="3">
        <f t="shared" si="20"/>
        <v>4.9541768E-2</v>
      </c>
      <c r="H42" s="3">
        <f t="shared" si="20"/>
        <v>4.9420486999999999E-2</v>
      </c>
      <c r="I42" s="3">
        <f t="shared" si="20"/>
        <v>4.9485080000000001E-2</v>
      </c>
      <c r="M42" s="2">
        <v>2.171086E-3</v>
      </c>
      <c r="N42" s="2">
        <v>2.14504E-3</v>
      </c>
      <c r="O42" s="2">
        <v>2.1632349999999999E-3</v>
      </c>
      <c r="P42" s="2">
        <v>2.1721140000000002E-3</v>
      </c>
      <c r="Q42" s="2">
        <v>2.15226E-3</v>
      </c>
      <c r="R42" s="2">
        <v>2.1547409999999999E-3</v>
      </c>
      <c r="S42" s="2">
        <v>2.1567940000000001E-3</v>
      </c>
      <c r="T42" s="2">
        <v>2.1687529999999998E-3</v>
      </c>
    </row>
    <row r="43" spans="1:20" x14ac:dyDescent="0.25">
      <c r="A43">
        <v>100000</v>
      </c>
      <c r="B43" s="3">
        <f t="shared" si="20"/>
        <v>9.9197707999999996E-2</v>
      </c>
      <c r="C43" s="3">
        <f t="shared" si="20"/>
        <v>9.8801247999999994E-2</v>
      </c>
      <c r="D43" s="3">
        <f t="shared" si="20"/>
        <v>9.8655022999999994E-2</v>
      </c>
      <c r="E43" s="3">
        <f t="shared" si="20"/>
        <v>9.9213228000000001E-2</v>
      </c>
      <c r="F43" s="3">
        <f t="shared" si="20"/>
        <v>9.8898418000000002E-2</v>
      </c>
      <c r="G43" s="3">
        <f t="shared" si="20"/>
        <v>9.8980001999999997E-2</v>
      </c>
      <c r="H43" s="3">
        <f t="shared" si="20"/>
        <v>9.8801970000000003E-2</v>
      </c>
      <c r="I43" s="3">
        <f t="shared" si="20"/>
        <v>9.8901956999999999E-2</v>
      </c>
      <c r="M43" s="2">
        <v>4.6861059999999998E-3</v>
      </c>
      <c r="N43" s="2">
        <v>4.6889039999999998E-3</v>
      </c>
      <c r="O43" s="2">
        <v>4.6756929999999999E-3</v>
      </c>
      <c r="P43" s="2">
        <v>4.70382E-3</v>
      </c>
      <c r="Q43" s="2">
        <v>4.6825670000000003E-3</v>
      </c>
      <c r="R43" s="2">
        <v>4.6702640000000004E-3</v>
      </c>
      <c r="S43" s="2">
        <v>4.683792E-3</v>
      </c>
      <c r="T43" s="2">
        <v>4.6806590000000002E-3</v>
      </c>
    </row>
    <row r="44" spans="1:20" x14ac:dyDescent="0.25">
      <c r="A44">
        <v>140000</v>
      </c>
      <c r="B44" s="3">
        <f t="shared" si="20"/>
        <v>0.13836736999999999</v>
      </c>
      <c r="C44" s="3">
        <f t="shared" si="20"/>
        <v>0.13784755800000001</v>
      </c>
      <c r="D44" s="3">
        <f t="shared" si="20"/>
        <v>0.137628257</v>
      </c>
      <c r="E44" s="3">
        <f t="shared" si="20"/>
        <v>0.13840269999999999</v>
      </c>
      <c r="F44" s="3">
        <f t="shared" si="20"/>
        <v>0.13797804699999999</v>
      </c>
      <c r="G44" s="3">
        <f t="shared" si="20"/>
        <v>0.13806575500000001</v>
      </c>
      <c r="H44" s="3">
        <f t="shared" si="20"/>
        <v>0.13786093899999999</v>
      </c>
      <c r="I44" s="3">
        <f t="shared" si="20"/>
        <v>0.13798896999999999</v>
      </c>
      <c r="M44" s="2">
        <v>2.4681225000000001E-2</v>
      </c>
      <c r="N44" s="2">
        <v>2.4502705999999999E-2</v>
      </c>
      <c r="O44" s="2">
        <v>2.4452728999999999E-2</v>
      </c>
      <c r="P44" s="2">
        <v>2.4673168999999998E-2</v>
      </c>
      <c r="Q44" s="2">
        <v>2.4532681000000001E-2</v>
      </c>
      <c r="R44" s="2">
        <v>2.4458997E-2</v>
      </c>
      <c r="S44" s="2">
        <v>2.4535339E-2</v>
      </c>
      <c r="T44" s="2">
        <v>2.4587963000000001E-2</v>
      </c>
    </row>
    <row r="45" spans="1:20" x14ac:dyDescent="0.25">
      <c r="M45" s="2">
        <v>4.9610909000000002E-2</v>
      </c>
      <c r="N45" s="2">
        <v>4.9344289999999999E-2</v>
      </c>
      <c r="O45" s="2">
        <v>4.9302301999999999E-2</v>
      </c>
      <c r="P45" s="2">
        <v>4.9555529000000001E-2</v>
      </c>
      <c r="Q45" s="2">
        <v>4.9348883000000003E-2</v>
      </c>
      <c r="R45" s="2">
        <v>4.9216438000000001E-2</v>
      </c>
      <c r="S45" s="2">
        <v>4.9488544000000002E-2</v>
      </c>
      <c r="T45" s="2">
        <v>4.9386962999999999E-2</v>
      </c>
    </row>
    <row r="46" spans="1:20" x14ac:dyDescent="0.25">
      <c r="A46" s="4" t="s">
        <v>6</v>
      </c>
      <c r="B46" s="4"/>
      <c r="C46" s="4"/>
      <c r="D46" s="4"/>
      <c r="E46" s="4"/>
      <c r="F46" s="4"/>
      <c r="G46" s="4"/>
      <c r="H46" s="4"/>
      <c r="I46" s="4"/>
      <c r="M46" s="2">
        <v>0.247525096</v>
      </c>
      <c r="N46" s="2">
        <v>0.24665647700000001</v>
      </c>
      <c r="O46" s="2">
        <v>0.245867804</v>
      </c>
      <c r="P46" s="2">
        <v>0.24723151300000001</v>
      </c>
      <c r="Q46" s="2">
        <v>0.246422693</v>
      </c>
      <c r="R46" s="2">
        <v>0.246523768</v>
      </c>
      <c r="S46" s="2">
        <v>0.24664048899999999</v>
      </c>
      <c r="T46" s="2">
        <v>0.246864796</v>
      </c>
    </row>
    <row r="47" spans="1:20" x14ac:dyDescent="0.25">
      <c r="A47" t="s">
        <v>1</v>
      </c>
      <c r="B47">
        <v>1</v>
      </c>
      <c r="C47">
        <v>2</v>
      </c>
      <c r="D47">
        <v>3</v>
      </c>
      <c r="E47">
        <v>4</v>
      </c>
      <c r="F47">
        <v>5</v>
      </c>
      <c r="G47">
        <v>6</v>
      </c>
      <c r="H47">
        <v>7</v>
      </c>
      <c r="I47">
        <v>8</v>
      </c>
      <c r="M47" s="2">
        <v>0.49428844500000002</v>
      </c>
      <c r="N47" s="2">
        <v>0.491248727</v>
      </c>
      <c r="O47" s="2">
        <v>0.49277618499999998</v>
      </c>
      <c r="P47" s="2">
        <v>0.49547147800000002</v>
      </c>
      <c r="Q47" s="2">
        <v>0.49189487100000001</v>
      </c>
      <c r="R47" s="2">
        <v>0.49142217599999999</v>
      </c>
      <c r="S47" s="2">
        <v>0.492708117</v>
      </c>
      <c r="T47" s="2">
        <v>0.49235278399999999</v>
      </c>
    </row>
    <row r="48" spans="1:20" x14ac:dyDescent="0.25">
      <c r="A48">
        <v>100</v>
      </c>
      <c r="B48" s="3">
        <f>M25*1000000</f>
        <v>121.75425199999999</v>
      </c>
      <c r="C48" s="3">
        <f t="shared" ref="C48:I48" si="21">N25*1000000</f>
        <v>120.79338199999999</v>
      </c>
      <c r="D48" s="3">
        <f t="shared" si="21"/>
        <v>122.003032</v>
      </c>
      <c r="E48" s="3">
        <f t="shared" si="21"/>
        <v>126.82679499999999</v>
      </c>
      <c r="F48" s="3">
        <f t="shared" si="21"/>
        <v>124.81863100000001</v>
      </c>
      <c r="G48" s="3">
        <f t="shared" si="21"/>
        <v>126.072264</v>
      </c>
      <c r="H48" s="3">
        <f t="shared" si="21"/>
        <v>121.47550299999999</v>
      </c>
      <c r="I48" s="3">
        <f t="shared" si="21"/>
        <v>119.22544900000001</v>
      </c>
      <c r="M48" s="2">
        <v>0.69008028499999996</v>
      </c>
      <c r="N48" s="2">
        <v>0.687655091</v>
      </c>
      <c r="O48" s="2">
        <v>0.68780779800000003</v>
      </c>
      <c r="P48" s="2">
        <v>0.69182115799999999</v>
      </c>
      <c r="Q48" s="2">
        <v>0.68727797300000004</v>
      </c>
      <c r="R48" s="2">
        <v>0.68697249900000001</v>
      </c>
      <c r="S48" s="2">
        <v>0.68911218600000002</v>
      </c>
      <c r="T48" s="2">
        <v>0.686764657</v>
      </c>
    </row>
    <row r="49" spans="1:20" x14ac:dyDescent="0.25">
      <c r="A49">
        <v>500</v>
      </c>
      <c r="B49" s="3">
        <f t="shared" ref="B49:B55" si="22">M26*1000000</f>
        <v>476.82001600000001</v>
      </c>
      <c r="C49" s="3">
        <f t="shared" ref="C49:C55" si="23">N26*1000000</f>
        <v>476.15493500000002</v>
      </c>
      <c r="D49" s="3">
        <f t="shared" ref="D49:D55" si="24">O26*1000000</f>
        <v>477.31155099999995</v>
      </c>
      <c r="E49" s="3">
        <f t="shared" ref="E49:E55" si="25">P26*1000000</f>
        <v>474.20134100000001</v>
      </c>
      <c r="F49" s="3">
        <f t="shared" ref="F49:F55" si="26">Q26*1000000</f>
        <v>472.80560800000001</v>
      </c>
      <c r="G49" s="3">
        <f t="shared" ref="G49:G55" si="27">R26*1000000</f>
        <v>476.71387400000003</v>
      </c>
      <c r="H49" s="3">
        <f t="shared" ref="H49:H55" si="28">S26*1000000</f>
        <v>475.71072399999997</v>
      </c>
      <c r="I49" s="3">
        <f t="shared" ref="I49:I55" si="29">T26*1000000</f>
        <v>466.21434699999998</v>
      </c>
      <c r="M49" s="6">
        <v>9.9999997000000003E-5</v>
      </c>
      <c r="N49" s="6">
        <v>9.9999997000000003E-5</v>
      </c>
      <c r="O49" s="6">
        <v>9.9999997000000003E-5</v>
      </c>
      <c r="P49" s="6">
        <v>9.9999997000000003E-5</v>
      </c>
      <c r="Q49" s="6">
        <v>9.9999997000000003E-5</v>
      </c>
      <c r="R49" s="6">
        <v>9.9999997000000003E-5</v>
      </c>
      <c r="S49" s="6">
        <v>9.9999997000000003E-5</v>
      </c>
      <c r="T49" s="6">
        <v>9.9999997000000003E-5</v>
      </c>
    </row>
    <row r="50" spans="1:20" x14ac:dyDescent="0.25">
      <c r="A50">
        <v>1000</v>
      </c>
      <c r="B50" s="3">
        <f t="shared" si="22"/>
        <v>973.06759599999998</v>
      </c>
      <c r="C50" s="3">
        <f t="shared" si="23"/>
        <v>960.03862599999991</v>
      </c>
      <c r="D50" s="3">
        <f t="shared" si="24"/>
        <v>971.87486200000001</v>
      </c>
      <c r="E50" s="3">
        <f t="shared" si="25"/>
        <v>977.9314280000001</v>
      </c>
      <c r="F50" s="3">
        <f t="shared" si="26"/>
        <v>959.44979699999999</v>
      </c>
      <c r="G50" s="3">
        <f t="shared" si="27"/>
        <v>975.22459700000002</v>
      </c>
      <c r="H50" s="3">
        <f t="shared" si="28"/>
        <v>971.000001</v>
      </c>
      <c r="I50" s="3">
        <f t="shared" si="29"/>
        <v>972.56735900000001</v>
      </c>
      <c r="M50" s="6">
        <v>5.0000002400000002E-4</v>
      </c>
      <c r="N50" s="6">
        <v>5.0000002400000002E-4</v>
      </c>
      <c r="O50" s="6">
        <v>5.0000002400000002E-4</v>
      </c>
      <c r="P50" s="6">
        <v>5.0000002400000002E-4</v>
      </c>
      <c r="Q50" s="6">
        <v>5.0000002400000002E-4</v>
      </c>
      <c r="R50" s="6">
        <v>5.0000002400000002E-4</v>
      </c>
      <c r="S50" s="6">
        <v>5.0000002400000002E-4</v>
      </c>
      <c r="T50" s="6">
        <v>5.0000002400000002E-4</v>
      </c>
    </row>
    <row r="51" spans="1:20" x14ac:dyDescent="0.25">
      <c r="A51">
        <v>5000</v>
      </c>
      <c r="B51" s="3">
        <f t="shared" si="22"/>
        <v>4952.3890000000001</v>
      </c>
      <c r="C51" s="3">
        <f t="shared" si="23"/>
        <v>4936.3870000000006</v>
      </c>
      <c r="D51" s="3">
        <f t="shared" si="24"/>
        <v>4943.1659999999993</v>
      </c>
      <c r="E51" s="3">
        <f t="shared" si="25"/>
        <v>4930.0540000000001</v>
      </c>
      <c r="F51" s="3">
        <f t="shared" si="26"/>
        <v>4944.3910000000005</v>
      </c>
      <c r="G51" s="3">
        <f t="shared" si="27"/>
        <v>4951.1689999999999</v>
      </c>
      <c r="H51" s="3">
        <f t="shared" si="28"/>
        <v>4951.6289999999999</v>
      </c>
      <c r="I51" s="3">
        <f t="shared" si="29"/>
        <v>4938.54</v>
      </c>
      <c r="M51" s="6">
        <v>1E-3</v>
      </c>
      <c r="N51" s="6">
        <v>1E-3</v>
      </c>
      <c r="O51" s="6">
        <v>1E-3</v>
      </c>
      <c r="P51" s="6">
        <v>1E-3</v>
      </c>
      <c r="Q51" s="6">
        <v>1E-3</v>
      </c>
      <c r="R51" s="6">
        <v>1E-3</v>
      </c>
      <c r="S51" s="6">
        <v>1E-3</v>
      </c>
      <c r="T51" s="6">
        <v>1E-3</v>
      </c>
    </row>
    <row r="52" spans="1:20" x14ac:dyDescent="0.25">
      <c r="A52">
        <v>10000</v>
      </c>
      <c r="B52" s="3">
        <f t="shared" si="22"/>
        <v>9941.2860000000001</v>
      </c>
      <c r="C52" s="3">
        <f t="shared" si="23"/>
        <v>9897.7070000000003</v>
      </c>
      <c r="D52" s="3">
        <f t="shared" si="24"/>
        <v>9925.4009999999998</v>
      </c>
      <c r="E52" s="3">
        <f t="shared" si="25"/>
        <v>9910.5949999999993</v>
      </c>
      <c r="F52" s="3">
        <f t="shared" si="26"/>
        <v>9911.5540000000001</v>
      </c>
      <c r="G52" s="3">
        <f t="shared" si="27"/>
        <v>9951.482</v>
      </c>
      <c r="H52" s="3">
        <f t="shared" si="28"/>
        <v>9923.634</v>
      </c>
      <c r="I52" s="3">
        <f t="shared" si="29"/>
        <v>9939.17</v>
      </c>
      <c r="M52" s="6">
        <v>5.0000000000000001E-3</v>
      </c>
      <c r="N52" s="6">
        <v>5.0000000000000001E-3</v>
      </c>
      <c r="O52" s="6">
        <v>5.0000000000000001E-3</v>
      </c>
      <c r="P52" s="6">
        <v>5.0000000000000001E-3</v>
      </c>
      <c r="Q52" s="6">
        <v>5.0000000000000001E-3</v>
      </c>
      <c r="R52" s="6">
        <v>5.0000000000000001E-3</v>
      </c>
      <c r="S52" s="6">
        <v>5.0000000000000001E-3</v>
      </c>
      <c r="T52" s="6">
        <v>5.0000000000000001E-3</v>
      </c>
    </row>
    <row r="53" spans="1:20" x14ac:dyDescent="0.25">
      <c r="A53">
        <v>50000</v>
      </c>
      <c r="B53" s="3">
        <f t="shared" si="22"/>
        <v>49533.903999999995</v>
      </c>
      <c r="C53" s="3">
        <f t="shared" si="23"/>
        <v>49345.898999999998</v>
      </c>
      <c r="D53" s="3">
        <f t="shared" si="24"/>
        <v>49606.13</v>
      </c>
      <c r="E53" s="3">
        <f t="shared" si="25"/>
        <v>49413.45</v>
      </c>
      <c r="F53" s="3">
        <f t="shared" si="26"/>
        <v>49467.183999999994</v>
      </c>
      <c r="G53" s="3">
        <f t="shared" si="27"/>
        <v>49669.548999999999</v>
      </c>
      <c r="H53" s="3">
        <f t="shared" si="28"/>
        <v>49623.597000000002</v>
      </c>
      <c r="I53" s="3">
        <f t="shared" si="29"/>
        <v>49498.691999999995</v>
      </c>
      <c r="M53" s="6">
        <v>0.01</v>
      </c>
      <c r="N53" s="6">
        <v>0.01</v>
      </c>
      <c r="O53" s="6">
        <v>0.01</v>
      </c>
      <c r="P53" s="6">
        <v>0.01</v>
      </c>
      <c r="Q53" s="6">
        <v>0.01</v>
      </c>
      <c r="R53" s="6">
        <v>0.01</v>
      </c>
      <c r="S53" s="6">
        <v>0.01</v>
      </c>
      <c r="T53" s="6">
        <v>0.01</v>
      </c>
    </row>
    <row r="54" spans="1:20" x14ac:dyDescent="0.25">
      <c r="A54">
        <v>100000</v>
      </c>
      <c r="B54" s="3">
        <f t="shared" si="22"/>
        <v>98989.137000000002</v>
      </c>
      <c r="C54" s="3">
        <f t="shared" si="23"/>
        <v>98584.622000000003</v>
      </c>
      <c r="D54" s="3">
        <f t="shared" si="24"/>
        <v>99155.97</v>
      </c>
      <c r="E54" s="3">
        <f t="shared" si="25"/>
        <v>98913.892999999996</v>
      </c>
      <c r="F54" s="3">
        <f t="shared" si="26"/>
        <v>98725.349000000002</v>
      </c>
      <c r="G54" s="3">
        <f t="shared" si="27"/>
        <v>99280.453999999998</v>
      </c>
      <c r="H54" s="3">
        <f t="shared" si="28"/>
        <v>99077.53</v>
      </c>
      <c r="I54" s="3">
        <f t="shared" si="29"/>
        <v>98777.868000000002</v>
      </c>
      <c r="M54" s="6">
        <v>4.9647706999999999E-2</v>
      </c>
      <c r="N54" s="6">
        <v>4.9423195000000003E-2</v>
      </c>
      <c r="O54" s="6">
        <v>4.9368504000000001E-2</v>
      </c>
      <c r="P54" s="6">
        <v>4.9652311999999997E-2</v>
      </c>
      <c r="Q54" s="6">
        <v>4.9482603E-2</v>
      </c>
      <c r="R54" s="6">
        <v>4.9540794999999999E-2</v>
      </c>
      <c r="S54" s="6">
        <v>4.9421663999999997E-2</v>
      </c>
      <c r="T54" s="6">
        <v>4.9482651000000002E-2</v>
      </c>
    </row>
    <row r="55" spans="1:20" x14ac:dyDescent="0.25">
      <c r="A55">
        <v>140000</v>
      </c>
      <c r="B55" s="3">
        <f t="shared" si="22"/>
        <v>114988.878</v>
      </c>
      <c r="C55" s="3">
        <f t="shared" si="23"/>
        <v>113413.326</v>
      </c>
      <c r="D55" s="3">
        <f t="shared" si="24"/>
        <v>115133.46400000001</v>
      </c>
      <c r="E55" s="3">
        <f t="shared" si="25"/>
        <v>114165.224</v>
      </c>
      <c r="F55" s="3">
        <f t="shared" si="26"/>
        <v>114818.394</v>
      </c>
      <c r="G55" s="3">
        <f t="shared" si="27"/>
        <v>115638.897</v>
      </c>
      <c r="H55" s="3">
        <f t="shared" si="28"/>
        <v>114336.31199999999</v>
      </c>
      <c r="I55" s="3">
        <f t="shared" si="29"/>
        <v>114496.37299999999</v>
      </c>
      <c r="M55" s="6">
        <v>9.9203572000000004E-2</v>
      </c>
      <c r="N55" s="6">
        <v>9.8804719999999999E-2</v>
      </c>
      <c r="O55" s="6">
        <v>9.8659708999999998E-2</v>
      </c>
      <c r="P55" s="6">
        <v>9.9217295999999996E-2</v>
      </c>
      <c r="Q55" s="6">
        <v>9.8895899999999995E-2</v>
      </c>
      <c r="R55" s="6">
        <v>9.8979874999999995E-2</v>
      </c>
      <c r="S55" s="6">
        <v>9.8808460000000001E-2</v>
      </c>
      <c r="T55" s="6">
        <v>9.8906754999999999E-2</v>
      </c>
    </row>
    <row r="56" spans="1:20" x14ac:dyDescent="0.25">
      <c r="M56" s="6">
        <v>0.13837470099999999</v>
      </c>
      <c r="N56" s="6">
        <v>0.13784571000000001</v>
      </c>
      <c r="O56" s="6">
        <v>0.13762928499999999</v>
      </c>
      <c r="P56" s="6">
        <v>0.13839596500000001</v>
      </c>
      <c r="Q56" s="6">
        <v>0.137978241</v>
      </c>
      <c r="R56" s="6">
        <v>0.13807177500000001</v>
      </c>
      <c r="S56" s="6">
        <v>0.13785977699999999</v>
      </c>
      <c r="T56" s="6">
        <v>0.13798861200000001</v>
      </c>
    </row>
    <row r="57" spans="1:20" x14ac:dyDescent="0.25">
      <c r="A57" s="5" t="s">
        <v>7</v>
      </c>
      <c r="B57" s="5"/>
      <c r="C57" s="5"/>
      <c r="D57" s="5"/>
      <c r="E57" s="5"/>
      <c r="F57" s="5"/>
      <c r="G57" s="5"/>
      <c r="H57" s="5"/>
      <c r="I57" s="5"/>
      <c r="M57" s="6">
        <v>4.8846914400000002E-4</v>
      </c>
      <c r="N57" s="6">
        <v>4.7766361999999999E-4</v>
      </c>
      <c r="O57" s="6">
        <v>4.75040957E-4</v>
      </c>
      <c r="P57" s="6">
        <v>4.6938305600000002E-4</v>
      </c>
      <c r="Q57" s="6">
        <v>4.7106656699999998E-4</v>
      </c>
      <c r="R57" s="6">
        <v>4.7969026499999998E-4</v>
      </c>
      <c r="S57" s="6">
        <v>4.9618503499999998E-4</v>
      </c>
      <c r="T57" s="6">
        <v>4.78844915E-4</v>
      </c>
    </row>
    <row r="58" spans="1:20" x14ac:dyDescent="0.25">
      <c r="A58" t="s">
        <v>0</v>
      </c>
      <c r="B58">
        <v>1</v>
      </c>
      <c r="C58">
        <v>2</v>
      </c>
      <c r="D58">
        <v>3</v>
      </c>
      <c r="E58">
        <v>4</v>
      </c>
      <c r="F58">
        <v>5</v>
      </c>
      <c r="G58">
        <v>6</v>
      </c>
      <c r="H58">
        <v>7</v>
      </c>
      <c r="I58">
        <v>8</v>
      </c>
      <c r="M58" s="6">
        <v>2.4208300000000001E-3</v>
      </c>
      <c r="N58" s="6">
        <v>2.4243810000000002E-3</v>
      </c>
      <c r="O58" s="6">
        <v>2.4276020000000001E-3</v>
      </c>
      <c r="P58" s="6">
        <v>2.4272899999999999E-3</v>
      </c>
      <c r="Q58" s="6">
        <v>2.4194809999999998E-3</v>
      </c>
      <c r="R58" s="6">
        <v>2.4214639999999999E-3</v>
      </c>
      <c r="S58" s="6">
        <v>2.4217840000000002E-3</v>
      </c>
      <c r="T58" s="6">
        <v>2.4319839999999999E-3</v>
      </c>
    </row>
    <row r="59" spans="1:20" x14ac:dyDescent="0.25">
      <c r="A59">
        <v>100</v>
      </c>
      <c r="B59" s="1">
        <f>B48-B37</f>
        <v>121.75415200000299</v>
      </c>
      <c r="C59" s="1">
        <f t="shared" ref="C59:I59" si="30">C48-C37</f>
        <v>120.79328200000299</v>
      </c>
      <c r="D59" s="1">
        <f t="shared" si="30"/>
        <v>122.002932000003</v>
      </c>
      <c r="E59" s="1">
        <f t="shared" si="30"/>
        <v>126.82669500000299</v>
      </c>
      <c r="F59" s="1">
        <f t="shared" si="30"/>
        <v>124.81853100000301</v>
      </c>
      <c r="G59" s="1">
        <f t="shared" si="30"/>
        <v>126.072164000003</v>
      </c>
      <c r="H59" s="1">
        <f t="shared" si="30"/>
        <v>121.47540300000298</v>
      </c>
      <c r="I59" s="1">
        <f t="shared" si="30"/>
        <v>119.22534900000301</v>
      </c>
      <c r="M59" s="6">
        <v>4.9532029999999998E-3</v>
      </c>
      <c r="N59" s="6">
        <v>4.931342E-3</v>
      </c>
      <c r="O59" s="6">
        <v>4.9600779999999997E-3</v>
      </c>
      <c r="P59" s="6">
        <v>4.9342769999999999E-3</v>
      </c>
      <c r="Q59" s="6">
        <v>4.939092E-3</v>
      </c>
      <c r="R59" s="6">
        <v>4.9739939999999998E-3</v>
      </c>
      <c r="S59" s="6">
        <v>4.9413210000000003E-3</v>
      </c>
      <c r="T59" s="6">
        <v>4.947814E-3</v>
      </c>
    </row>
    <row r="60" spans="1:20" x14ac:dyDescent="0.25">
      <c r="A60">
        <v>500</v>
      </c>
      <c r="B60" s="1">
        <f t="shared" ref="B60:I60" si="31">B49-B38</f>
        <v>476.81951599997603</v>
      </c>
      <c r="C60" s="1">
        <f t="shared" si="31"/>
        <v>476.15443499997605</v>
      </c>
      <c r="D60" s="1">
        <f t="shared" si="31"/>
        <v>477.31105099997598</v>
      </c>
      <c r="E60" s="1">
        <f t="shared" si="31"/>
        <v>474.20084099997604</v>
      </c>
      <c r="F60" s="1">
        <f t="shared" si="31"/>
        <v>472.80510799997603</v>
      </c>
      <c r="G60" s="1">
        <f t="shared" si="31"/>
        <v>476.71337399997606</v>
      </c>
      <c r="H60" s="1">
        <f t="shared" si="31"/>
        <v>475.71022399997599</v>
      </c>
      <c r="I60" s="1">
        <f t="shared" si="31"/>
        <v>466.213846999976</v>
      </c>
      <c r="M60" s="6">
        <v>2.4948146000000001E-2</v>
      </c>
      <c r="N60" s="6">
        <v>2.4928985000000001E-2</v>
      </c>
      <c r="O60" s="6">
        <v>2.4940285999999999E-2</v>
      </c>
      <c r="P60" s="6">
        <v>2.4846261000000001E-2</v>
      </c>
      <c r="Q60" s="6">
        <v>2.4978118000000001E-2</v>
      </c>
      <c r="R60" s="6">
        <v>2.4945729999999999E-2</v>
      </c>
      <c r="S60" s="6">
        <v>2.4932466E-2</v>
      </c>
      <c r="T60" s="6">
        <v>2.4968183000000001E-2</v>
      </c>
    </row>
    <row r="61" spans="1:20" x14ac:dyDescent="0.25">
      <c r="A61">
        <v>1000</v>
      </c>
      <c r="B61" s="1">
        <f t="shared" ref="B61:I61" si="32">B50-B39</f>
        <v>973.066596</v>
      </c>
      <c r="C61" s="1">
        <f t="shared" si="32"/>
        <v>960.03762599999993</v>
      </c>
      <c r="D61" s="1">
        <f t="shared" si="32"/>
        <v>971.87386200000003</v>
      </c>
      <c r="E61" s="1">
        <f t="shared" si="32"/>
        <v>977.93042800000012</v>
      </c>
      <c r="F61" s="1">
        <f t="shared" si="32"/>
        <v>959.44879700000001</v>
      </c>
      <c r="G61" s="1">
        <f t="shared" si="32"/>
        <v>975.22359700000004</v>
      </c>
      <c r="H61" s="1">
        <f t="shared" si="32"/>
        <v>970.99900100000002</v>
      </c>
      <c r="I61" s="1">
        <f t="shared" si="32"/>
        <v>972.56635900000003</v>
      </c>
      <c r="M61" s="6">
        <v>4.9980719E-2</v>
      </c>
      <c r="N61" s="6">
        <v>4.9968496000000001E-2</v>
      </c>
      <c r="O61" s="6">
        <v>5.0003267999999997E-2</v>
      </c>
      <c r="P61" s="6">
        <v>4.9803514E-2</v>
      </c>
      <c r="Q61" s="6">
        <v>4.9950302000000002E-2</v>
      </c>
      <c r="R61" s="6">
        <v>4.9947037999999999E-2</v>
      </c>
      <c r="S61" s="6">
        <v>4.9917261999999997E-2</v>
      </c>
      <c r="T61" s="6">
        <v>4.9917049999999998E-2</v>
      </c>
    </row>
    <row r="62" spans="1:20" x14ac:dyDescent="0.25">
      <c r="A62">
        <v>5000</v>
      </c>
      <c r="B62" s="1">
        <f t="shared" ref="B62:I62" si="33">B51-B40</f>
        <v>4952.384</v>
      </c>
      <c r="C62" s="1">
        <f t="shared" si="33"/>
        <v>4936.3820000000005</v>
      </c>
      <c r="D62" s="1">
        <f t="shared" si="33"/>
        <v>4943.1609999999991</v>
      </c>
      <c r="E62" s="1">
        <f t="shared" si="33"/>
        <v>4930.049</v>
      </c>
      <c r="F62" s="1">
        <f t="shared" si="33"/>
        <v>4944.3860000000004</v>
      </c>
      <c r="G62" s="1">
        <f t="shared" si="33"/>
        <v>4951.1639999999998</v>
      </c>
      <c r="H62" s="1">
        <f t="shared" si="33"/>
        <v>4951.6239999999998</v>
      </c>
      <c r="I62" s="1">
        <f t="shared" si="33"/>
        <v>4938.5349999999999</v>
      </c>
      <c r="M62" s="6">
        <v>0.113534369</v>
      </c>
      <c r="N62" s="6">
        <v>0.111855142</v>
      </c>
      <c r="O62" s="6">
        <v>0.113344744</v>
      </c>
      <c r="P62" s="6">
        <v>0.112271301</v>
      </c>
      <c r="Q62" s="6">
        <v>0.11298388199999999</v>
      </c>
      <c r="R62" s="6">
        <v>0.11392086</v>
      </c>
      <c r="S62" s="6">
        <v>0.112653427</v>
      </c>
      <c r="T62" s="6">
        <v>0.112591729</v>
      </c>
    </row>
    <row r="63" spans="1:20" x14ac:dyDescent="0.25">
      <c r="A63">
        <v>10000</v>
      </c>
      <c r="B63" s="1">
        <f t="shared" ref="B63:I63" si="34">B52-B41</f>
        <v>9941.2759999999998</v>
      </c>
      <c r="C63" s="1">
        <f t="shared" si="34"/>
        <v>9897.6970000000001</v>
      </c>
      <c r="D63" s="1">
        <f t="shared" si="34"/>
        <v>9925.3909999999996</v>
      </c>
      <c r="E63" s="1">
        <f t="shared" si="34"/>
        <v>9910.5849999999991</v>
      </c>
      <c r="F63" s="1">
        <f t="shared" si="34"/>
        <v>9911.5439999999999</v>
      </c>
      <c r="G63" s="1">
        <f t="shared" si="34"/>
        <v>9951.4719999999998</v>
      </c>
      <c r="H63" s="1">
        <f t="shared" si="34"/>
        <v>9923.6239999999998</v>
      </c>
      <c r="I63" s="1">
        <f t="shared" si="34"/>
        <v>9939.16</v>
      </c>
      <c r="M63" s="6">
        <v>0.114707224</v>
      </c>
      <c r="N63" s="6">
        <v>0.112819239</v>
      </c>
      <c r="O63" s="6">
        <v>0.114495032</v>
      </c>
      <c r="P63" s="6">
        <v>0.113293409</v>
      </c>
      <c r="Q63" s="6">
        <v>0.11384040099999999</v>
      </c>
      <c r="R63" s="6">
        <v>0.115043722</v>
      </c>
      <c r="S63" s="6">
        <v>0.113871947</v>
      </c>
      <c r="T63" s="6">
        <v>0.113781057</v>
      </c>
    </row>
    <row r="64" spans="1:20" x14ac:dyDescent="0.25">
      <c r="A64">
        <v>50000</v>
      </c>
      <c r="B64" s="1">
        <f t="shared" ref="B64:I64" si="35">B53-B42</f>
        <v>49533.854351055998</v>
      </c>
      <c r="C64" s="1">
        <f t="shared" si="35"/>
        <v>49345.849577847999</v>
      </c>
      <c r="D64" s="1">
        <f t="shared" si="35"/>
        <v>49606.08063325</v>
      </c>
      <c r="E64" s="1">
        <f t="shared" si="35"/>
        <v>49413.400349855998</v>
      </c>
      <c r="F64" s="1">
        <f t="shared" si="35"/>
        <v>49467.134520798994</v>
      </c>
      <c r="G64" s="1">
        <f t="shared" si="35"/>
        <v>49669.499458232</v>
      </c>
      <c r="H64" s="1">
        <f t="shared" si="35"/>
        <v>49623.547579513004</v>
      </c>
      <c r="I64" s="1">
        <f t="shared" si="35"/>
        <v>49498.642514919993</v>
      </c>
      <c r="M64" s="6">
        <v>0.114523053</v>
      </c>
      <c r="N64" s="6">
        <v>0.113101356</v>
      </c>
      <c r="O64" s="6">
        <v>0.11459907900000001</v>
      </c>
      <c r="P64" s="6">
        <v>0.11353451000000001</v>
      </c>
      <c r="Q64" s="6">
        <v>0.113955691</v>
      </c>
      <c r="R64" s="6">
        <v>0.114861675</v>
      </c>
      <c r="S64" s="6">
        <v>0.11394001500000001</v>
      </c>
      <c r="T64" s="6">
        <v>0.113695979</v>
      </c>
    </row>
    <row r="65" spans="1:9" x14ac:dyDescent="0.25">
      <c r="A65">
        <v>100000</v>
      </c>
      <c r="B65" s="1">
        <f t="shared" ref="B65:I65" si="36">B54-B43</f>
        <v>98989.037802292005</v>
      </c>
      <c r="C65" s="1">
        <f t="shared" si="36"/>
        <v>98584.523198752009</v>
      </c>
      <c r="D65" s="1">
        <f t="shared" si="36"/>
        <v>99155.871344977</v>
      </c>
      <c r="E65" s="1">
        <f t="shared" si="36"/>
        <v>98913.793786772003</v>
      </c>
      <c r="F65" s="1">
        <f t="shared" si="36"/>
        <v>98725.250101582002</v>
      </c>
      <c r="G65" s="1">
        <f t="shared" si="36"/>
        <v>99280.355019997995</v>
      </c>
      <c r="H65" s="1">
        <f t="shared" si="36"/>
        <v>99077.431198029997</v>
      </c>
      <c r="I65" s="1">
        <f t="shared" si="36"/>
        <v>98777.769098043005</v>
      </c>
    </row>
    <row r="66" spans="1:9" x14ac:dyDescent="0.25">
      <c r="A66">
        <v>140000</v>
      </c>
      <c r="B66" s="1">
        <f t="shared" ref="B66:I66" si="37">B55-B44</f>
        <v>114988.73963262999</v>
      </c>
      <c r="C66" s="1">
        <f t="shared" si="37"/>
        <v>113413.188152442</v>
      </c>
      <c r="D66" s="1">
        <f t="shared" si="37"/>
        <v>115133.32637174301</v>
      </c>
      <c r="E66" s="1">
        <f t="shared" si="37"/>
        <v>114165.0855973</v>
      </c>
      <c r="F66" s="1">
        <f t="shared" si="37"/>
        <v>114818.256021953</v>
      </c>
      <c r="G66" s="1">
        <f t="shared" si="37"/>
        <v>115638.75893424499</v>
      </c>
      <c r="H66" s="1">
        <f t="shared" si="37"/>
        <v>114336.174139061</v>
      </c>
      <c r="I66" s="1">
        <f t="shared" si="37"/>
        <v>114496.23501102999</v>
      </c>
    </row>
    <row r="68" spans="1:9" x14ac:dyDescent="0.25">
      <c r="A68" s="4" t="s">
        <v>8</v>
      </c>
      <c r="B68" s="4"/>
      <c r="C68" s="4"/>
      <c r="D68" s="4"/>
      <c r="E68" s="4"/>
      <c r="F68" s="4"/>
      <c r="G68" s="4"/>
      <c r="H68" s="4"/>
      <c r="I68" s="4"/>
    </row>
    <row r="69" spans="1:9" x14ac:dyDescent="0.25">
      <c r="A69" t="s">
        <v>1</v>
      </c>
      <c r="B69">
        <v>1</v>
      </c>
      <c r="C69">
        <v>2</v>
      </c>
      <c r="D69">
        <v>3</v>
      </c>
      <c r="E69">
        <v>4</v>
      </c>
      <c r="F69">
        <v>5</v>
      </c>
      <c r="G69">
        <v>6</v>
      </c>
      <c r="H69">
        <v>7</v>
      </c>
      <c r="I69">
        <v>8</v>
      </c>
    </row>
    <row r="70" spans="1:9" x14ac:dyDescent="0.25">
      <c r="A70">
        <v>100</v>
      </c>
      <c r="B70" s="3">
        <f>M33</f>
        <v>9.9999997000000003E-5</v>
      </c>
      <c r="C70" s="3">
        <f t="shared" ref="C70:I70" si="38">N33</f>
        <v>9.9999997000000003E-5</v>
      </c>
      <c r="D70" s="3">
        <f t="shared" si="38"/>
        <v>9.9999997000000003E-5</v>
      </c>
      <c r="E70" s="3">
        <f t="shared" si="38"/>
        <v>9.9999997000000003E-5</v>
      </c>
      <c r="F70" s="3">
        <f t="shared" si="38"/>
        <v>9.9999997000000003E-5</v>
      </c>
      <c r="G70" s="3">
        <f t="shared" si="38"/>
        <v>9.9999997000000003E-5</v>
      </c>
      <c r="H70" s="3">
        <f t="shared" si="38"/>
        <v>9.9999997000000003E-5</v>
      </c>
      <c r="I70" s="3">
        <f t="shared" si="38"/>
        <v>9.9999997000000003E-5</v>
      </c>
    </row>
    <row r="71" spans="1:9" x14ac:dyDescent="0.25">
      <c r="A71">
        <v>500</v>
      </c>
      <c r="B71" s="3">
        <f t="shared" ref="B71:B77" si="39">M34</f>
        <v>5.0000002400000002E-4</v>
      </c>
      <c r="C71" s="3">
        <f t="shared" ref="C71:C77" si="40">N34</f>
        <v>5.0000002400000002E-4</v>
      </c>
      <c r="D71" s="3">
        <f t="shared" ref="D71:D77" si="41">O34</f>
        <v>5.0000002400000002E-4</v>
      </c>
      <c r="E71" s="3">
        <f t="shared" ref="E71:E77" si="42">P34</f>
        <v>5.0000002400000002E-4</v>
      </c>
      <c r="F71" s="3">
        <f t="shared" ref="F71:F77" si="43">Q34</f>
        <v>5.0000002400000002E-4</v>
      </c>
      <c r="G71" s="3">
        <f t="shared" ref="G71:G77" si="44">R34</f>
        <v>5.0000002400000002E-4</v>
      </c>
      <c r="H71" s="3">
        <f t="shared" ref="H71:H77" si="45">S34</f>
        <v>5.0000002400000002E-4</v>
      </c>
      <c r="I71" s="3">
        <f t="shared" ref="I71:I77" si="46">T34</f>
        <v>5.0000002400000002E-4</v>
      </c>
    </row>
    <row r="72" spans="1:9" x14ac:dyDescent="0.25">
      <c r="A72">
        <v>1000</v>
      </c>
      <c r="B72" s="3">
        <f t="shared" si="39"/>
        <v>1E-3</v>
      </c>
      <c r="C72" s="3">
        <f t="shared" si="40"/>
        <v>1E-3</v>
      </c>
      <c r="D72" s="3">
        <f t="shared" si="41"/>
        <v>1E-3</v>
      </c>
      <c r="E72" s="3">
        <f t="shared" si="42"/>
        <v>1E-3</v>
      </c>
      <c r="F72" s="3">
        <f t="shared" si="43"/>
        <v>1E-3</v>
      </c>
      <c r="G72" s="3">
        <f t="shared" si="44"/>
        <v>1E-3</v>
      </c>
      <c r="H72" s="3">
        <f t="shared" si="45"/>
        <v>1E-3</v>
      </c>
      <c r="I72" s="3">
        <f t="shared" si="46"/>
        <v>1E-3</v>
      </c>
    </row>
    <row r="73" spans="1:9" x14ac:dyDescent="0.25">
      <c r="A73">
        <v>5000</v>
      </c>
      <c r="B73" s="3">
        <f t="shared" si="39"/>
        <v>5.0000000000000001E-3</v>
      </c>
      <c r="C73" s="3">
        <f t="shared" si="40"/>
        <v>5.0000000000000001E-3</v>
      </c>
      <c r="D73" s="3">
        <f t="shared" si="41"/>
        <v>5.0000000000000001E-3</v>
      </c>
      <c r="E73" s="3">
        <f t="shared" si="42"/>
        <v>5.0000000000000001E-3</v>
      </c>
      <c r="F73" s="3">
        <f t="shared" si="43"/>
        <v>5.0000000000000001E-3</v>
      </c>
      <c r="G73" s="3">
        <f t="shared" si="44"/>
        <v>5.0000000000000001E-3</v>
      </c>
      <c r="H73" s="3">
        <f t="shared" si="45"/>
        <v>5.0000000000000001E-3</v>
      </c>
      <c r="I73" s="3">
        <f t="shared" si="46"/>
        <v>5.0000000000000001E-3</v>
      </c>
    </row>
    <row r="74" spans="1:9" x14ac:dyDescent="0.25">
      <c r="A74">
        <v>10000</v>
      </c>
      <c r="B74" s="3">
        <f t="shared" si="39"/>
        <v>0.01</v>
      </c>
      <c r="C74" s="3">
        <f t="shared" si="40"/>
        <v>0.01</v>
      </c>
      <c r="D74" s="3">
        <f t="shared" si="41"/>
        <v>0.01</v>
      </c>
      <c r="E74" s="3">
        <f t="shared" si="42"/>
        <v>0.01</v>
      </c>
      <c r="F74" s="3">
        <f t="shared" si="43"/>
        <v>0.01</v>
      </c>
      <c r="G74" s="3">
        <f t="shared" si="44"/>
        <v>0.01</v>
      </c>
      <c r="H74" s="3">
        <f t="shared" si="45"/>
        <v>0.01</v>
      </c>
      <c r="I74" s="3">
        <f t="shared" si="46"/>
        <v>0.01</v>
      </c>
    </row>
    <row r="75" spans="1:9" x14ac:dyDescent="0.25">
      <c r="A75">
        <v>50000</v>
      </c>
      <c r="B75" s="3">
        <f t="shared" si="39"/>
        <v>4.9650811000000003E-2</v>
      </c>
      <c r="C75" s="3">
        <f t="shared" si="40"/>
        <v>4.9422219000000003E-2</v>
      </c>
      <c r="D75" s="3">
        <f t="shared" si="41"/>
        <v>4.9367290000000001E-2</v>
      </c>
      <c r="E75" s="3">
        <f t="shared" si="42"/>
        <v>4.9646094000000002E-2</v>
      </c>
      <c r="F75" s="3">
        <f t="shared" si="43"/>
        <v>4.9480746999999999E-2</v>
      </c>
      <c r="G75" s="3">
        <f t="shared" si="44"/>
        <v>4.9538441000000003E-2</v>
      </c>
      <c r="H75" s="3">
        <f t="shared" si="45"/>
        <v>4.9419998999999999E-2</v>
      </c>
      <c r="I75" s="3">
        <f t="shared" si="46"/>
        <v>4.9482878000000001E-2</v>
      </c>
    </row>
    <row r="76" spans="1:9" x14ac:dyDescent="0.25">
      <c r="A76">
        <v>100000</v>
      </c>
      <c r="B76" s="3">
        <f t="shared" si="39"/>
        <v>9.9202491000000004E-2</v>
      </c>
      <c r="C76" s="3">
        <f t="shared" si="40"/>
        <v>9.8805428000000001E-2</v>
      </c>
      <c r="D76" s="3">
        <f t="shared" si="41"/>
        <v>9.8655857E-2</v>
      </c>
      <c r="E76" s="3">
        <f t="shared" si="42"/>
        <v>9.9210665000000003E-2</v>
      </c>
      <c r="F76" s="3">
        <f t="shared" si="43"/>
        <v>9.8896242999999995E-2</v>
      </c>
      <c r="G76" s="3">
        <f t="shared" si="44"/>
        <v>9.8978109999999994E-2</v>
      </c>
      <c r="H76" s="3">
        <f t="shared" si="45"/>
        <v>9.8800674000000005E-2</v>
      </c>
      <c r="I76" s="3">
        <f t="shared" si="46"/>
        <v>9.8902008999999999E-2</v>
      </c>
    </row>
    <row r="77" spans="1:9" x14ac:dyDescent="0.25">
      <c r="A77">
        <v>140000</v>
      </c>
      <c r="B77" s="3">
        <f t="shared" si="39"/>
        <v>0.138369307</v>
      </c>
      <c r="C77" s="3">
        <f t="shared" si="40"/>
        <v>0.137844458</v>
      </c>
      <c r="D77" s="3">
        <f t="shared" si="41"/>
        <v>0.137627363</v>
      </c>
      <c r="E77" s="3">
        <f t="shared" si="42"/>
        <v>0.138406157</v>
      </c>
      <c r="F77" s="3">
        <f t="shared" si="43"/>
        <v>0.137964159</v>
      </c>
      <c r="G77" s="3">
        <f t="shared" si="44"/>
        <v>0.13806495099999999</v>
      </c>
      <c r="H77" s="3">
        <f t="shared" si="45"/>
        <v>0.13785430800000001</v>
      </c>
      <c r="I77" s="3">
        <f t="shared" si="46"/>
        <v>0.13798032700000001</v>
      </c>
    </row>
    <row r="79" spans="1:9" x14ac:dyDescent="0.25">
      <c r="A79" s="4" t="s">
        <v>9</v>
      </c>
      <c r="B79" s="4"/>
      <c r="C79" s="4"/>
      <c r="D79" s="4"/>
      <c r="E79" s="4"/>
      <c r="F79" s="4"/>
      <c r="G79" s="4"/>
      <c r="H79" s="4"/>
      <c r="I79" s="4"/>
    </row>
    <row r="80" spans="1:9" x14ac:dyDescent="0.25">
      <c r="A80" t="s">
        <v>1</v>
      </c>
      <c r="B80">
        <v>1</v>
      </c>
      <c r="C80">
        <v>2</v>
      </c>
      <c r="D80">
        <v>3</v>
      </c>
      <c r="E80">
        <v>4</v>
      </c>
      <c r="F80">
        <v>5</v>
      </c>
      <c r="G80">
        <v>6</v>
      </c>
      <c r="H80">
        <v>7</v>
      </c>
      <c r="I80">
        <v>8</v>
      </c>
    </row>
    <row r="81" spans="1:9" x14ac:dyDescent="0.25">
      <c r="A81">
        <v>100</v>
      </c>
      <c r="B81" s="3">
        <f>(M41/5)*1000000</f>
        <v>84.944092600000005</v>
      </c>
      <c r="C81" s="3">
        <f t="shared" ref="C81:I81" si="47">(N41/5)*1000000</f>
        <v>84.179989000000006</v>
      </c>
      <c r="D81" s="3">
        <f t="shared" si="47"/>
        <v>78.448373799999985</v>
      </c>
      <c r="E81" s="3">
        <f t="shared" si="47"/>
        <v>81.473769399999995</v>
      </c>
      <c r="F81" s="3">
        <f t="shared" si="47"/>
        <v>86.981442200000004</v>
      </c>
      <c r="G81" s="3">
        <f t="shared" si="47"/>
        <v>81.61892180000001</v>
      </c>
      <c r="H81" s="3">
        <f t="shared" si="47"/>
        <v>82.382588799999994</v>
      </c>
      <c r="I81" s="3">
        <f t="shared" si="47"/>
        <v>87.130081399999995</v>
      </c>
    </row>
    <row r="82" spans="1:9" x14ac:dyDescent="0.25">
      <c r="A82">
        <v>500</v>
      </c>
      <c r="B82" s="3">
        <f t="shared" ref="B82:B88" si="48">(M42/5)*1000000</f>
        <v>434.21719999999999</v>
      </c>
      <c r="C82" s="3">
        <f t="shared" ref="C82:C88" si="49">(N42/5)*1000000</f>
        <v>429.00799999999998</v>
      </c>
      <c r="D82" s="3">
        <f t="shared" ref="D82:D88" si="50">(O42/5)*1000000</f>
        <v>432.64699999999999</v>
      </c>
      <c r="E82" s="3">
        <f t="shared" ref="E82:E88" si="51">(P42/5)*1000000</f>
        <v>434.4228</v>
      </c>
      <c r="F82" s="3">
        <f t="shared" ref="F82:F88" si="52">(Q42/5)*1000000</f>
        <v>430.452</v>
      </c>
      <c r="G82" s="3">
        <f t="shared" ref="G82:G88" si="53">(R42/5)*1000000</f>
        <v>430.94819999999999</v>
      </c>
      <c r="H82" s="3">
        <f t="shared" ref="H82:H88" si="54">(S42/5)*1000000</f>
        <v>431.35880000000003</v>
      </c>
      <c r="I82" s="3">
        <f t="shared" ref="I82:I88" si="55">(T42/5)*1000000</f>
        <v>433.75059999999996</v>
      </c>
    </row>
    <row r="83" spans="1:9" x14ac:dyDescent="0.25">
      <c r="A83">
        <v>1000</v>
      </c>
      <c r="B83" s="3">
        <f t="shared" si="48"/>
        <v>937.22119999999995</v>
      </c>
      <c r="C83" s="3">
        <f t="shared" si="49"/>
        <v>937.7808</v>
      </c>
      <c r="D83" s="3">
        <f t="shared" si="50"/>
        <v>935.1386</v>
      </c>
      <c r="E83" s="3">
        <f t="shared" si="51"/>
        <v>940.76400000000001</v>
      </c>
      <c r="F83" s="3">
        <f t="shared" si="52"/>
        <v>936.51340000000005</v>
      </c>
      <c r="G83" s="3">
        <f t="shared" si="53"/>
        <v>934.05280000000005</v>
      </c>
      <c r="H83" s="3">
        <f t="shared" si="54"/>
        <v>936.75840000000005</v>
      </c>
      <c r="I83" s="3">
        <f t="shared" si="55"/>
        <v>936.1318</v>
      </c>
    </row>
    <row r="84" spans="1:9" x14ac:dyDescent="0.25">
      <c r="A84">
        <v>5000</v>
      </c>
      <c r="B84" s="3">
        <f t="shared" si="48"/>
        <v>4936.2450000000008</v>
      </c>
      <c r="C84" s="3">
        <f t="shared" si="49"/>
        <v>4900.5411999999997</v>
      </c>
      <c r="D84" s="3">
        <f t="shared" si="50"/>
        <v>4890.5457999999999</v>
      </c>
      <c r="E84" s="3">
        <f t="shared" si="51"/>
        <v>4934.6337999999996</v>
      </c>
      <c r="F84" s="3">
        <f t="shared" si="52"/>
        <v>4906.5362000000005</v>
      </c>
      <c r="G84" s="3">
        <f t="shared" si="53"/>
        <v>4891.7993999999999</v>
      </c>
      <c r="H84" s="3">
        <f t="shared" si="54"/>
        <v>4907.0677999999998</v>
      </c>
      <c r="I84" s="3">
        <f t="shared" si="55"/>
        <v>4917.5925999999999</v>
      </c>
    </row>
    <row r="85" spans="1:9" x14ac:dyDescent="0.25">
      <c r="A85">
        <v>10000</v>
      </c>
      <c r="B85" s="3">
        <f t="shared" si="48"/>
        <v>9922.1818000000003</v>
      </c>
      <c r="C85" s="3">
        <f t="shared" si="49"/>
        <v>9868.8580000000002</v>
      </c>
      <c r="D85" s="3">
        <f t="shared" si="50"/>
        <v>9860.4603999999999</v>
      </c>
      <c r="E85" s="3">
        <f t="shared" si="51"/>
        <v>9911.1057999999994</v>
      </c>
      <c r="F85" s="3">
        <f t="shared" si="52"/>
        <v>9869.7766000000011</v>
      </c>
      <c r="G85" s="3">
        <f t="shared" si="53"/>
        <v>9843.2875999999997</v>
      </c>
      <c r="H85" s="3">
        <f t="shared" si="54"/>
        <v>9897.7088000000003</v>
      </c>
      <c r="I85" s="3">
        <f t="shared" si="55"/>
        <v>9877.3925999999992</v>
      </c>
    </row>
    <row r="86" spans="1:9" x14ac:dyDescent="0.25">
      <c r="A86">
        <v>50000</v>
      </c>
      <c r="B86" s="3">
        <f t="shared" si="48"/>
        <v>49505.019200000002</v>
      </c>
      <c r="C86" s="3">
        <f t="shared" si="49"/>
        <v>49331.295400000003</v>
      </c>
      <c r="D86" s="3">
        <f t="shared" si="50"/>
        <v>49173.560799999999</v>
      </c>
      <c r="E86" s="3">
        <f t="shared" si="51"/>
        <v>49446.302600000003</v>
      </c>
      <c r="F86" s="3">
        <f t="shared" si="52"/>
        <v>49284.5386</v>
      </c>
      <c r="G86" s="3">
        <f t="shared" si="53"/>
        <v>49304.753600000004</v>
      </c>
      <c r="H86" s="3">
        <f t="shared" si="54"/>
        <v>49328.097799999996</v>
      </c>
      <c r="I86" s="3">
        <f t="shared" si="55"/>
        <v>49372.959199999998</v>
      </c>
    </row>
    <row r="87" spans="1:9" x14ac:dyDescent="0.25">
      <c r="A87">
        <v>100000</v>
      </c>
      <c r="B87" s="3">
        <f t="shared" si="48"/>
        <v>98857.688999999998</v>
      </c>
      <c r="C87" s="3">
        <f t="shared" si="49"/>
        <v>98249.7454</v>
      </c>
      <c r="D87" s="3">
        <f t="shared" si="50"/>
        <v>98555.236999999994</v>
      </c>
      <c r="E87" s="3">
        <f t="shared" si="51"/>
        <v>99094.295600000012</v>
      </c>
      <c r="F87" s="3">
        <f t="shared" si="52"/>
        <v>98378.974199999997</v>
      </c>
      <c r="G87" s="3">
        <f t="shared" si="53"/>
        <v>98284.435199999993</v>
      </c>
      <c r="H87" s="3">
        <f t="shared" si="54"/>
        <v>98541.623399999997</v>
      </c>
      <c r="I87" s="3">
        <f t="shared" si="55"/>
        <v>98470.556799999991</v>
      </c>
    </row>
    <row r="88" spans="1:9" x14ac:dyDescent="0.25">
      <c r="A88">
        <v>140000</v>
      </c>
      <c r="B88" s="3">
        <f t="shared" si="48"/>
        <v>138016.057</v>
      </c>
      <c r="C88" s="3">
        <f t="shared" si="49"/>
        <v>137531.01819999999</v>
      </c>
      <c r="D88" s="3">
        <f t="shared" si="50"/>
        <v>137561.55960000001</v>
      </c>
      <c r="E88" s="3">
        <f t="shared" si="51"/>
        <v>138364.2316</v>
      </c>
      <c r="F88" s="3">
        <f t="shared" si="52"/>
        <v>137455.59460000001</v>
      </c>
      <c r="G88" s="3">
        <f t="shared" si="53"/>
        <v>137394.49980000002</v>
      </c>
      <c r="H88" s="3">
        <f t="shared" si="54"/>
        <v>137822.43720000001</v>
      </c>
      <c r="I88" s="3">
        <f t="shared" si="55"/>
        <v>137352.9314</v>
      </c>
    </row>
    <row r="90" spans="1:9" x14ac:dyDescent="0.25">
      <c r="A90" s="5" t="s">
        <v>10</v>
      </c>
      <c r="B90" s="5"/>
      <c r="C90" s="5"/>
      <c r="D90" s="5"/>
      <c r="E90" s="5"/>
      <c r="F90" s="5"/>
      <c r="G90" s="5"/>
      <c r="H90" s="5"/>
      <c r="I90" s="5"/>
    </row>
    <row r="91" spans="1:9" x14ac:dyDescent="0.25">
      <c r="A91" t="s">
        <v>0</v>
      </c>
      <c r="B91">
        <v>1</v>
      </c>
      <c r="C91">
        <v>2</v>
      </c>
      <c r="D91">
        <v>3</v>
      </c>
      <c r="E91">
        <v>4</v>
      </c>
      <c r="F91">
        <v>5</v>
      </c>
      <c r="G91">
        <v>6</v>
      </c>
      <c r="H91">
        <v>7</v>
      </c>
      <c r="I91">
        <v>8</v>
      </c>
    </row>
    <row r="92" spans="1:9" x14ac:dyDescent="0.25">
      <c r="A92">
        <v>100</v>
      </c>
      <c r="B92" s="1">
        <f>B81-B70</f>
        <v>84.943992600003</v>
      </c>
      <c r="C92" s="1">
        <f t="shared" ref="C92:I92" si="56">C81-C70</f>
        <v>84.179889000003001</v>
      </c>
      <c r="D92" s="1">
        <f t="shared" si="56"/>
        <v>78.44827380000298</v>
      </c>
      <c r="E92" s="1">
        <f t="shared" si="56"/>
        <v>81.47366940000299</v>
      </c>
      <c r="F92" s="1">
        <f t="shared" si="56"/>
        <v>86.981342200002999</v>
      </c>
      <c r="G92" s="1">
        <f t="shared" si="56"/>
        <v>81.618821800003005</v>
      </c>
      <c r="H92" s="1">
        <f t="shared" si="56"/>
        <v>82.382488800002989</v>
      </c>
      <c r="I92" s="1">
        <f t="shared" si="56"/>
        <v>87.12998140000299</v>
      </c>
    </row>
    <row r="93" spans="1:9" x14ac:dyDescent="0.25">
      <c r="A93">
        <v>500</v>
      </c>
      <c r="B93" s="1">
        <f t="shared" ref="B93:I93" si="57">B82-B71</f>
        <v>434.21669999997602</v>
      </c>
      <c r="C93" s="1">
        <f t="shared" si="57"/>
        <v>429.00749999997601</v>
      </c>
      <c r="D93" s="1">
        <f t="shared" si="57"/>
        <v>432.64649999997602</v>
      </c>
      <c r="E93" s="1">
        <f t="shared" si="57"/>
        <v>434.42229999997602</v>
      </c>
      <c r="F93" s="1">
        <f t="shared" si="57"/>
        <v>430.45149999997602</v>
      </c>
      <c r="G93" s="1">
        <f t="shared" si="57"/>
        <v>430.94769999997601</v>
      </c>
      <c r="H93" s="1">
        <f t="shared" si="57"/>
        <v>431.35829999997605</v>
      </c>
      <c r="I93" s="1">
        <f t="shared" si="57"/>
        <v>433.75009999997599</v>
      </c>
    </row>
    <row r="94" spans="1:9" x14ac:dyDescent="0.25">
      <c r="A94">
        <v>1000</v>
      </c>
      <c r="B94" s="1">
        <f t="shared" ref="B94:I94" si="58">B83-B72</f>
        <v>937.22019999999998</v>
      </c>
      <c r="C94" s="1">
        <f t="shared" si="58"/>
        <v>937.77980000000002</v>
      </c>
      <c r="D94" s="1">
        <f t="shared" si="58"/>
        <v>935.13760000000002</v>
      </c>
      <c r="E94" s="1">
        <f t="shared" si="58"/>
        <v>940.76300000000003</v>
      </c>
      <c r="F94" s="1">
        <f t="shared" si="58"/>
        <v>936.51240000000007</v>
      </c>
      <c r="G94" s="1">
        <f t="shared" si="58"/>
        <v>934.05180000000007</v>
      </c>
      <c r="H94" s="1">
        <f t="shared" si="58"/>
        <v>936.75740000000008</v>
      </c>
      <c r="I94" s="1">
        <f t="shared" si="58"/>
        <v>936.13080000000002</v>
      </c>
    </row>
    <row r="95" spans="1:9" x14ac:dyDescent="0.25">
      <c r="A95">
        <v>5000</v>
      </c>
      <c r="B95" s="1">
        <f t="shared" ref="B95:I95" si="59">B84-B73</f>
        <v>4936.2400000000007</v>
      </c>
      <c r="C95" s="1">
        <f t="shared" si="59"/>
        <v>4900.5361999999996</v>
      </c>
      <c r="D95" s="1">
        <f t="shared" si="59"/>
        <v>4890.5407999999998</v>
      </c>
      <c r="E95" s="1">
        <f t="shared" si="59"/>
        <v>4934.6287999999995</v>
      </c>
      <c r="F95" s="1">
        <f t="shared" si="59"/>
        <v>4906.5312000000004</v>
      </c>
      <c r="G95" s="1">
        <f t="shared" si="59"/>
        <v>4891.7943999999998</v>
      </c>
      <c r="H95" s="1">
        <f t="shared" si="59"/>
        <v>4907.0627999999997</v>
      </c>
      <c r="I95" s="1">
        <f t="shared" si="59"/>
        <v>4917.5875999999998</v>
      </c>
    </row>
    <row r="96" spans="1:9" x14ac:dyDescent="0.25">
      <c r="A96">
        <v>10000</v>
      </c>
      <c r="B96" s="1">
        <f t="shared" ref="B96:I96" si="60">B85-B74</f>
        <v>9922.1718000000001</v>
      </c>
      <c r="C96" s="1">
        <f t="shared" si="60"/>
        <v>9868.848</v>
      </c>
      <c r="D96" s="1">
        <f t="shared" si="60"/>
        <v>9860.4503999999997</v>
      </c>
      <c r="E96" s="1">
        <f t="shared" si="60"/>
        <v>9911.0957999999991</v>
      </c>
      <c r="F96" s="1">
        <f t="shared" si="60"/>
        <v>9869.7666000000008</v>
      </c>
      <c r="G96" s="1">
        <f t="shared" si="60"/>
        <v>9843.2775999999994</v>
      </c>
      <c r="H96" s="1">
        <f t="shared" si="60"/>
        <v>9897.6988000000001</v>
      </c>
      <c r="I96" s="1">
        <f t="shared" si="60"/>
        <v>9877.382599999999</v>
      </c>
    </row>
    <row r="97" spans="1:9" x14ac:dyDescent="0.25">
      <c r="A97">
        <v>50000</v>
      </c>
      <c r="B97" s="1">
        <f t="shared" ref="B97:I97" si="61">B86-B75</f>
        <v>49504.969549189002</v>
      </c>
      <c r="C97" s="1">
        <f t="shared" si="61"/>
        <v>49331.245977781</v>
      </c>
      <c r="D97" s="1">
        <f t="shared" si="61"/>
        <v>49173.511432710002</v>
      </c>
      <c r="E97" s="1">
        <f t="shared" si="61"/>
        <v>49446.252953906005</v>
      </c>
      <c r="F97" s="1">
        <f t="shared" si="61"/>
        <v>49284.489119252998</v>
      </c>
      <c r="G97" s="1">
        <f t="shared" si="61"/>
        <v>49304.704061559001</v>
      </c>
      <c r="H97" s="1">
        <f t="shared" si="61"/>
        <v>49328.048380000997</v>
      </c>
      <c r="I97" s="1">
        <f t="shared" si="61"/>
        <v>49372.909717121998</v>
      </c>
    </row>
    <row r="98" spans="1:9" x14ac:dyDescent="0.25">
      <c r="A98">
        <v>100000</v>
      </c>
      <c r="B98" s="1">
        <f t="shared" ref="B98:I98" si="62">B87-B76</f>
        <v>98857.589797509005</v>
      </c>
      <c r="C98" s="1">
        <f t="shared" si="62"/>
        <v>98249.646594571997</v>
      </c>
      <c r="D98" s="1">
        <f t="shared" si="62"/>
        <v>98555.138344142993</v>
      </c>
      <c r="E98" s="1">
        <f t="shared" si="62"/>
        <v>99094.196389335018</v>
      </c>
      <c r="F98" s="1">
        <f t="shared" si="62"/>
        <v>98378.875303756999</v>
      </c>
      <c r="G98" s="1">
        <f t="shared" si="62"/>
        <v>98284.336221889986</v>
      </c>
      <c r="H98" s="1">
        <f t="shared" si="62"/>
        <v>98541.524599326003</v>
      </c>
      <c r="I98" s="1">
        <f t="shared" si="62"/>
        <v>98470.457897990986</v>
      </c>
    </row>
    <row r="99" spans="1:9" x14ac:dyDescent="0.25">
      <c r="A99">
        <v>140000</v>
      </c>
      <c r="B99" s="1">
        <f t="shared" ref="B99:I99" si="63">B88-B77</f>
        <v>138015.91863069299</v>
      </c>
      <c r="C99" s="1">
        <f t="shared" si="63"/>
        <v>137530.880355542</v>
      </c>
      <c r="D99" s="1">
        <f t="shared" si="63"/>
        <v>137561.42197263701</v>
      </c>
      <c r="E99" s="1">
        <f t="shared" si="63"/>
        <v>138364.093193843</v>
      </c>
      <c r="F99" s="1">
        <f t="shared" si="63"/>
        <v>137455.45663584102</v>
      </c>
      <c r="G99" s="1">
        <f t="shared" si="63"/>
        <v>137394.36173504902</v>
      </c>
      <c r="H99" s="1">
        <f t="shared" si="63"/>
        <v>137822.29934569201</v>
      </c>
      <c r="I99" s="1">
        <f t="shared" si="63"/>
        <v>137352.79341967299</v>
      </c>
    </row>
  </sheetData>
  <mergeCells count="9">
    <mergeCell ref="A68:I68"/>
    <mergeCell ref="A79:I79"/>
    <mergeCell ref="A90:I90"/>
    <mergeCell ref="A57:I57"/>
    <mergeCell ref="A1:I1"/>
    <mergeCell ref="A12:I12"/>
    <mergeCell ref="A23:I23"/>
    <mergeCell ref="A35:I35"/>
    <mergeCell ref="A46:I46"/>
  </mergeCells>
  <conditionalFormatting sqref="B14:I14">
    <cfRule type="cellIs" dxfId="47" priority="47" operator="lessThan">
      <formula>35</formula>
    </cfRule>
    <cfRule type="cellIs" dxfId="46" priority="48" operator="greaterThan">
      <formula>165</formula>
    </cfRule>
  </conditionalFormatting>
  <conditionalFormatting sqref="B15:I15">
    <cfRule type="cellIs" dxfId="45" priority="46" operator="greaterThan">
      <formula>585</formula>
    </cfRule>
    <cfRule type="cellIs" dxfId="44" priority="45" operator="lessThan">
      <formula>415</formula>
    </cfRule>
  </conditionalFormatting>
  <conditionalFormatting sqref="B16:I16">
    <cfRule type="cellIs" dxfId="43" priority="44" operator="greaterThan">
      <formula>1110</formula>
    </cfRule>
    <cfRule type="cellIs" dxfId="42" priority="43" operator="lessThan">
      <formula>890</formula>
    </cfRule>
  </conditionalFormatting>
  <conditionalFormatting sqref="B17:I17">
    <cfRule type="cellIs" dxfId="41" priority="42" operator="lessThan">
      <formula>4690</formula>
    </cfRule>
    <cfRule type="cellIs" dxfId="40" priority="41" operator="greaterThan">
      <formula>5310</formula>
    </cfRule>
  </conditionalFormatting>
  <conditionalFormatting sqref="B18:I18">
    <cfRule type="cellIs" dxfId="39" priority="40" operator="lessThan">
      <formula>9440</formula>
    </cfRule>
    <cfRule type="cellIs" dxfId="38" priority="39" operator="greaterThan">
      <formula>10560</formula>
    </cfRule>
  </conditionalFormatting>
  <conditionalFormatting sqref="B19:I19">
    <cfRule type="cellIs" dxfId="37" priority="38" operator="greaterThan">
      <formula>52560</formula>
    </cfRule>
    <cfRule type="cellIs" dxfId="36" priority="37" operator="lessThan">
      <formula>47440</formula>
    </cfRule>
  </conditionalFormatting>
  <conditionalFormatting sqref="B20:I20">
    <cfRule type="cellIs" dxfId="35" priority="36" operator="greaterThan">
      <formula>105060</formula>
    </cfRule>
    <cfRule type="cellIs" dxfId="34" priority="35" operator="lessThan">
      <formula>94940</formula>
    </cfRule>
  </conditionalFormatting>
  <conditionalFormatting sqref="B21:I21">
    <cfRule type="cellIs" dxfId="33" priority="34" operator="greaterThan">
      <formula>147060</formula>
    </cfRule>
    <cfRule type="cellIs" dxfId="32" priority="33" operator="lessThan">
      <formula>132940</formula>
    </cfRule>
  </conditionalFormatting>
  <conditionalFormatting sqref="B48:I48">
    <cfRule type="cellIs" dxfId="31" priority="31" operator="lessThan">
      <formula>35</formula>
    </cfRule>
    <cfRule type="cellIs" dxfId="30" priority="32" operator="greaterThan">
      <formula>165</formula>
    </cfRule>
  </conditionalFormatting>
  <conditionalFormatting sqref="B49:I49">
    <cfRule type="cellIs" dxfId="29" priority="30" operator="greaterThan">
      <formula>585</formula>
    </cfRule>
    <cfRule type="cellIs" dxfId="28" priority="29" operator="lessThan">
      <formula>415</formula>
    </cfRule>
  </conditionalFormatting>
  <conditionalFormatting sqref="B50:I50">
    <cfRule type="cellIs" dxfId="27" priority="28" operator="greaterThan">
      <formula>1110</formula>
    </cfRule>
    <cfRule type="cellIs" dxfId="26" priority="27" operator="lessThan">
      <formula>890</formula>
    </cfRule>
  </conditionalFormatting>
  <conditionalFormatting sqref="B51:I51">
    <cfRule type="cellIs" dxfId="25" priority="25" operator="lessThan">
      <formula>4690</formula>
    </cfRule>
    <cfRule type="cellIs" dxfId="24" priority="26" operator="greaterThan">
      <formula>5310</formula>
    </cfRule>
  </conditionalFormatting>
  <conditionalFormatting sqref="B52:I52">
    <cfRule type="cellIs" dxfId="23" priority="24" operator="greaterThan">
      <formula>10560</formula>
    </cfRule>
    <cfRule type="cellIs" dxfId="22" priority="23" operator="lessThan">
      <formula>9440</formula>
    </cfRule>
  </conditionalFormatting>
  <conditionalFormatting sqref="B53:I53">
    <cfRule type="cellIs" dxfId="21" priority="22" operator="greaterThan">
      <formula>52560</formula>
    </cfRule>
    <cfRule type="cellIs" dxfId="20" priority="21" operator="lessThan">
      <formula>47440</formula>
    </cfRule>
  </conditionalFormatting>
  <conditionalFormatting sqref="B54:I54">
    <cfRule type="cellIs" dxfId="19" priority="19" operator="lessThan">
      <formula>94940</formula>
    </cfRule>
    <cfRule type="cellIs" dxfId="18" priority="20" operator="greaterThan">
      <formula>105060</formula>
    </cfRule>
  </conditionalFormatting>
  <conditionalFormatting sqref="B55:I55">
    <cfRule type="cellIs" dxfId="17" priority="18" operator="greaterThan">
      <formula>147060</formula>
    </cfRule>
    <cfRule type="cellIs" dxfId="16" priority="17" operator="lessThan">
      <formula>132940</formula>
    </cfRule>
  </conditionalFormatting>
  <conditionalFormatting sqref="B81:I81">
    <cfRule type="cellIs" dxfId="15" priority="16" operator="greaterThan">
      <formula>165</formula>
    </cfRule>
    <cfRule type="cellIs" dxfId="14" priority="15" operator="lessThan">
      <formula>35</formula>
    </cfRule>
  </conditionalFormatting>
  <conditionalFormatting sqref="B82:I82">
    <cfRule type="cellIs" dxfId="13" priority="13" operator="lessThan">
      <formula>415</formula>
    </cfRule>
    <cfRule type="cellIs" dxfId="12" priority="14" operator="greaterThan">
      <formula>585</formula>
    </cfRule>
  </conditionalFormatting>
  <conditionalFormatting sqref="B83:I83">
    <cfRule type="cellIs" dxfId="11" priority="12" operator="greaterThan">
      <formula>1110</formula>
    </cfRule>
    <cfRule type="cellIs" dxfId="10" priority="11" operator="lessThan">
      <formula>890</formula>
    </cfRule>
  </conditionalFormatting>
  <conditionalFormatting sqref="B84:I84">
    <cfRule type="cellIs" dxfId="9" priority="10" operator="greaterThan">
      <formula>5310</formula>
    </cfRule>
    <cfRule type="cellIs" dxfId="8" priority="9" operator="lessThan">
      <formula>4690</formula>
    </cfRule>
  </conditionalFormatting>
  <conditionalFormatting sqref="B85:I85">
    <cfRule type="cellIs" dxfId="7" priority="7" operator="lessThan">
      <formula>9440</formula>
    </cfRule>
    <cfRule type="cellIs" dxfId="6" priority="8" operator="greaterThan">
      <formula>10560</formula>
    </cfRule>
  </conditionalFormatting>
  <conditionalFormatting sqref="B86:I86">
    <cfRule type="cellIs" dxfId="5" priority="6" operator="greaterThan">
      <formula>52560</formula>
    </cfRule>
    <cfRule type="cellIs" dxfId="4" priority="5" operator="lessThan">
      <formula>47440</formula>
    </cfRule>
  </conditionalFormatting>
  <conditionalFormatting sqref="B87:I87">
    <cfRule type="cellIs" dxfId="3" priority="4" operator="greaterThan">
      <formula>105060</formula>
    </cfRule>
    <cfRule type="cellIs" dxfId="2" priority="3" operator="lessThan">
      <formula>94940</formula>
    </cfRule>
  </conditionalFormatting>
  <conditionalFormatting sqref="B88:I88">
    <cfRule type="cellIs" dxfId="1" priority="2" operator="greaterThan">
      <formula>147060</formula>
    </cfRule>
    <cfRule type="cellIs" dxfId="0" priority="1" operator="lessThan">
      <formula>132940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</dc:creator>
  <cp:lastModifiedBy>Shaev Andrew</cp:lastModifiedBy>
  <dcterms:created xsi:type="dcterms:W3CDTF">2015-06-05T18:17:20Z</dcterms:created>
  <dcterms:modified xsi:type="dcterms:W3CDTF">2026-05-26T13:41:16Z</dcterms:modified>
</cp:coreProperties>
</file>
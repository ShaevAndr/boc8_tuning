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боц8\"/>
    </mc:Choice>
  </mc:AlternateContent>
  <xr:revisionPtr revIDLastSave="0" documentId="8_{C0932931-1CF0-454F-A4D5-4F09A858A824}" xr6:coauthVersionLast="47" xr6:coauthVersionMax="47" xr10:uidLastSave="{00000000-0000-0000-0000-000000000000}"/>
  <bookViews>
    <workbookView xWindow="1485" yWindow="228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C81" i="1"/>
  <c r="D81" i="1"/>
  <c r="E81" i="1"/>
  <c r="F81" i="1"/>
  <c r="G81" i="1"/>
  <c r="H81" i="1"/>
  <c r="I81" i="1"/>
  <c r="B81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48" i="1"/>
  <c r="D48" i="1"/>
  <c r="E48" i="1"/>
  <c r="F48" i="1"/>
  <c r="G48" i="1"/>
  <c r="H48" i="1"/>
  <c r="I48" i="1"/>
  <c r="B48" i="1"/>
  <c r="H21" i="1"/>
  <c r="G21" i="1"/>
  <c r="F21" i="1"/>
  <c r="E21" i="1"/>
  <c r="D21" i="1"/>
  <c r="B21" i="1"/>
  <c r="C21" i="1"/>
  <c r="C16" i="1"/>
  <c r="B15" i="1"/>
  <c r="C15" i="1"/>
  <c r="D15" i="1"/>
  <c r="E15" i="1"/>
  <c r="F15" i="1"/>
  <c r="G15" i="1"/>
  <c r="H15" i="1"/>
  <c r="I15" i="1"/>
  <c r="B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C14" i="1"/>
  <c r="D14" i="1"/>
  <c r="E14" i="1"/>
  <c r="F14" i="1"/>
  <c r="G14" i="1"/>
  <c r="H14" i="1"/>
  <c r="I14" i="1"/>
  <c r="B14" i="1"/>
  <c r="B3" i="1"/>
  <c r="B25" i="1" s="1"/>
  <c r="B71" i="1"/>
  <c r="C71" i="1"/>
  <c r="D71" i="1"/>
  <c r="E71" i="1"/>
  <c r="F71" i="1"/>
  <c r="F93" i="1" s="1"/>
  <c r="G71" i="1"/>
  <c r="H71" i="1"/>
  <c r="I71" i="1"/>
  <c r="B72" i="1"/>
  <c r="B94" i="1" s="1"/>
  <c r="C72" i="1"/>
  <c r="D72" i="1"/>
  <c r="E72" i="1"/>
  <c r="F72" i="1"/>
  <c r="F94" i="1" s="1"/>
  <c r="G72" i="1"/>
  <c r="H72" i="1"/>
  <c r="I72" i="1"/>
  <c r="B73" i="1"/>
  <c r="B95" i="1" s="1"/>
  <c r="C73" i="1"/>
  <c r="D73" i="1"/>
  <c r="E73" i="1"/>
  <c r="F73" i="1"/>
  <c r="F95" i="1" s="1"/>
  <c r="G73" i="1"/>
  <c r="H73" i="1"/>
  <c r="I73" i="1"/>
  <c r="B74" i="1"/>
  <c r="B96" i="1" s="1"/>
  <c r="C74" i="1"/>
  <c r="D74" i="1"/>
  <c r="E74" i="1"/>
  <c r="F74" i="1"/>
  <c r="F96" i="1" s="1"/>
  <c r="G74" i="1"/>
  <c r="H74" i="1"/>
  <c r="I74" i="1"/>
  <c r="B75" i="1"/>
  <c r="B97" i="1" s="1"/>
  <c r="C75" i="1"/>
  <c r="D75" i="1"/>
  <c r="E75" i="1"/>
  <c r="F75" i="1"/>
  <c r="F97" i="1" s="1"/>
  <c r="G75" i="1"/>
  <c r="H75" i="1"/>
  <c r="I75" i="1"/>
  <c r="B76" i="1"/>
  <c r="B98" i="1" s="1"/>
  <c r="C76" i="1"/>
  <c r="D76" i="1"/>
  <c r="E76" i="1"/>
  <c r="F76" i="1"/>
  <c r="F98" i="1" s="1"/>
  <c r="G76" i="1"/>
  <c r="H76" i="1"/>
  <c r="I76" i="1"/>
  <c r="B77" i="1"/>
  <c r="B99" i="1" s="1"/>
  <c r="C77" i="1"/>
  <c r="D77" i="1"/>
  <c r="E77" i="1"/>
  <c r="F77" i="1"/>
  <c r="F99" i="1" s="1"/>
  <c r="G77" i="1"/>
  <c r="H77" i="1"/>
  <c r="I77" i="1"/>
  <c r="C70" i="1"/>
  <c r="C92" i="1" s="1"/>
  <c r="D70" i="1"/>
  <c r="E70" i="1"/>
  <c r="F70" i="1"/>
  <c r="G70" i="1"/>
  <c r="G92" i="1" s="1"/>
  <c r="H70" i="1"/>
  <c r="I70" i="1"/>
  <c r="B70" i="1"/>
  <c r="I44" i="1"/>
  <c r="I66" i="1" s="1"/>
  <c r="H44" i="1"/>
  <c r="G44" i="1"/>
  <c r="G66" i="1" s="1"/>
  <c r="F44" i="1"/>
  <c r="F66" i="1" s="1"/>
  <c r="E44" i="1"/>
  <c r="E66" i="1" s="1"/>
  <c r="D44" i="1"/>
  <c r="C44" i="1"/>
  <c r="C66" i="1" s="1"/>
  <c r="B44" i="1"/>
  <c r="B66" i="1" s="1"/>
  <c r="I43" i="1"/>
  <c r="I65" i="1" s="1"/>
  <c r="H43" i="1"/>
  <c r="G43" i="1"/>
  <c r="G65" i="1" s="1"/>
  <c r="F43" i="1"/>
  <c r="F65" i="1" s="1"/>
  <c r="E43" i="1"/>
  <c r="E65" i="1" s="1"/>
  <c r="D43" i="1"/>
  <c r="C43" i="1"/>
  <c r="C65" i="1" s="1"/>
  <c r="B43" i="1"/>
  <c r="B65" i="1" s="1"/>
  <c r="I42" i="1"/>
  <c r="I64" i="1" s="1"/>
  <c r="H42" i="1"/>
  <c r="G42" i="1"/>
  <c r="G64" i="1" s="1"/>
  <c r="F42" i="1"/>
  <c r="F64" i="1" s="1"/>
  <c r="E42" i="1"/>
  <c r="E64" i="1" s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B31" i="1" s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5" i="1"/>
  <c r="H5" i="1"/>
  <c r="G5" i="1"/>
  <c r="F5" i="1"/>
  <c r="E5" i="1"/>
  <c r="D5" i="1"/>
  <c r="C5" i="1"/>
  <c r="B5" i="1"/>
  <c r="B27" i="1" s="1"/>
  <c r="I4" i="1"/>
  <c r="H4" i="1"/>
  <c r="G4" i="1"/>
  <c r="F4" i="1"/>
  <c r="E4" i="1"/>
  <c r="D4" i="1"/>
  <c r="C4" i="1"/>
  <c r="B4" i="1"/>
  <c r="I3" i="1"/>
  <c r="H3" i="1"/>
  <c r="G3" i="1"/>
  <c r="F3" i="1"/>
  <c r="E3" i="1"/>
  <c r="D3" i="1"/>
  <c r="C3" i="1"/>
  <c r="D61" i="1" l="1"/>
  <c r="C64" i="1"/>
  <c r="B64" i="1"/>
  <c r="D63" i="1"/>
  <c r="F59" i="1"/>
  <c r="E25" i="1"/>
  <c r="D62" i="1"/>
  <c r="F32" i="1"/>
  <c r="H27" i="1"/>
  <c r="H29" i="1"/>
  <c r="H94" i="1"/>
  <c r="H96" i="1"/>
  <c r="I92" i="1"/>
  <c r="D64" i="1"/>
  <c r="D65" i="1"/>
  <c r="D66" i="1"/>
  <c r="I63" i="1"/>
  <c r="G63" i="1"/>
  <c r="F63" i="1"/>
  <c r="E63" i="1"/>
  <c r="C63" i="1"/>
  <c r="B63" i="1"/>
  <c r="I62" i="1"/>
  <c r="G62" i="1"/>
  <c r="F62" i="1"/>
  <c r="E62" i="1"/>
  <c r="C62" i="1"/>
  <c r="B62" i="1"/>
  <c r="I61" i="1"/>
  <c r="G61" i="1"/>
  <c r="F61" i="1"/>
  <c r="E61" i="1"/>
  <c r="C61" i="1"/>
  <c r="B61" i="1"/>
  <c r="G60" i="1"/>
  <c r="F60" i="1"/>
  <c r="B60" i="1"/>
  <c r="E32" i="1"/>
  <c r="D32" i="1"/>
  <c r="G31" i="1"/>
  <c r="F31" i="1"/>
  <c r="C31" i="1"/>
  <c r="F30" i="1"/>
  <c r="B30" i="1"/>
  <c r="G29" i="1"/>
  <c r="F29" i="1"/>
  <c r="C29" i="1"/>
  <c r="B29" i="1"/>
  <c r="F28" i="1"/>
  <c r="B28" i="1"/>
  <c r="G27" i="1"/>
  <c r="F27" i="1"/>
  <c r="C27" i="1"/>
  <c r="F26" i="1"/>
  <c r="I25" i="1"/>
  <c r="H98" i="1"/>
  <c r="B93" i="1"/>
  <c r="I32" i="1"/>
  <c r="B92" i="1"/>
  <c r="B32" i="1"/>
  <c r="I59" i="1"/>
  <c r="C32" i="1"/>
  <c r="H99" i="1"/>
  <c r="H97" i="1"/>
  <c r="H95" i="1"/>
  <c r="H93" i="1"/>
  <c r="B26" i="1"/>
  <c r="E59" i="1"/>
  <c r="D25" i="1"/>
  <c r="H25" i="1"/>
  <c r="D26" i="1"/>
  <c r="H26" i="1"/>
  <c r="H31" i="1"/>
  <c r="H61" i="1"/>
  <c r="H62" i="1"/>
  <c r="H63" i="1"/>
  <c r="H64" i="1"/>
  <c r="H65" i="1"/>
  <c r="H66" i="1"/>
  <c r="F25" i="1"/>
  <c r="H30" i="1"/>
  <c r="D29" i="1"/>
  <c r="D28" i="1"/>
  <c r="G26" i="1"/>
  <c r="C26" i="1"/>
  <c r="G32" i="1"/>
  <c r="H60" i="1"/>
  <c r="D60" i="1"/>
  <c r="E92" i="1"/>
  <c r="D99" i="1"/>
  <c r="D98" i="1"/>
  <c r="D97" i="1"/>
  <c r="D96" i="1"/>
  <c r="D95" i="1"/>
  <c r="D94" i="1"/>
  <c r="G25" i="1"/>
  <c r="C25" i="1"/>
  <c r="G30" i="1"/>
  <c r="C30" i="1"/>
  <c r="G28" i="1"/>
  <c r="C28" i="1"/>
  <c r="H32" i="1"/>
  <c r="C60" i="1"/>
  <c r="C93" i="1"/>
  <c r="D31" i="1"/>
  <c r="D30" i="1"/>
  <c r="H28" i="1"/>
  <c r="D27" i="1"/>
  <c r="D93" i="1"/>
  <c r="H59" i="1"/>
  <c r="D59" i="1"/>
  <c r="H92" i="1"/>
  <c r="D92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I31" i="1"/>
  <c r="E31" i="1"/>
  <c r="I30" i="1"/>
  <c r="E30" i="1"/>
  <c r="I29" i="1"/>
  <c r="E29" i="1"/>
  <c r="I28" i="1"/>
  <c r="E28" i="1"/>
  <c r="I27" i="1"/>
  <c r="E27" i="1"/>
  <c r="B59" i="1"/>
  <c r="I60" i="1"/>
  <c r="E60" i="1"/>
  <c r="F92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26" i="1"/>
  <c r="E26" i="1"/>
  <c r="G59" i="1"/>
  <c r="C59" i="1"/>
</calcChain>
</file>

<file path=xl/sharedStrings.xml><?xml version="1.0" encoding="utf-8"?>
<sst xmlns="http://schemas.openxmlformats.org/spreadsheetml/2006/main" count="18" uniqueCount="11">
  <si>
    <t>частота\канал</t>
  </si>
  <si>
    <t>частота/канал</t>
  </si>
  <si>
    <t>Установленное значение при коэффициенте усиления BOE "-1", BOC "0"</t>
  </si>
  <si>
    <t>Измеренное значение при коэффициенте усиления BOE "-1", BOC "0"</t>
  </si>
  <si>
    <t>Погрешность при коеффициенте усления BOE "-1", BOC "0"</t>
  </si>
  <si>
    <t>Установленное значение при коэффициенте усиления BOE "-1", BOC "3"</t>
  </si>
  <si>
    <t>Измеренное значение при коэффициенте усиления BOE "-1", BOC "3"</t>
  </si>
  <si>
    <t>Погрешность при коеффициенте усления BOE "-1", BOC "3"</t>
  </si>
  <si>
    <t>Установленное значение при коэффициенте усиления BOE "0", BOC "0"</t>
  </si>
  <si>
    <t>Измеренное значение при коэффициенте усиления BOE "0", BOC "0"</t>
  </si>
  <si>
    <t>Погрешность при коеффициенте усления BOE "0", BOC 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</si>
</sst>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1" fontId="1" fillId="0" borderId="1" xfId="0" applyNumberFormat="1" applyFont="1" applyBorder="1"/>
    <xf numFmtId="16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11" fontId="2" fillId="0" borderId="1" xfId="0" applyNumberFormat="1" applyFont="1" applyBorder="1"/>
  </cellXfs>
  <cellStyles count="1">
    <cellStyle name="Обычный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topLeftCell="A70" workbookViewId="0">
      <selection activeCell="L88" sqref="L88"/>
    </sheetView>
  </sheetViews>
  <sheetFormatPr defaultRowHeight="15" x14ac:dyDescent="0.25"/>
  <cols>
    <col min="2" max="9" width="13.7109375" bestFit="1" customWidth="1"/>
    <col min="13" max="20" width="13.5703125" customWidth="1"/>
  </cols>
  <sheetData>
    <row r="1" spans="1:20" x14ac:dyDescent="0.25">
      <c r="A1" s="4" t="s">
        <v>2</v>
      </c>
      <c r="B1" s="4"/>
      <c r="C1" s="4"/>
      <c r="D1" s="4"/>
      <c r="E1" s="4"/>
      <c r="F1" s="4"/>
      <c r="G1" s="4"/>
      <c r="H1" s="4"/>
      <c r="I1" s="4"/>
      <c r="M1" s="2">
        <v>9.9999997000000003E-5</v>
      </c>
      <c r="N1" s="2">
        <v>9.9999997000000003E-5</v>
      </c>
      <c r="O1" s="2">
        <v>9.9999997000000003E-5</v>
      </c>
      <c r="P1" s="2">
        <v>9.9999997000000003E-5</v>
      </c>
      <c r="Q1" s="2">
        <v>9.9999997000000003E-5</v>
      </c>
      <c r="R1" s="2">
        <v>9.9999997000000003E-5</v>
      </c>
      <c r="S1" s="2">
        <v>9.9999997000000003E-5</v>
      </c>
      <c r="T1" s="2">
        <v>9.9999997000000003E-5</v>
      </c>
    </row>
    <row r="2" spans="1:20" x14ac:dyDescent="0.25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M2" s="2">
        <v>5.0000002400000002E-4</v>
      </c>
      <c r="N2" s="2">
        <v>5.0000002400000002E-4</v>
      </c>
      <c r="O2" s="2">
        <v>5.0000002400000002E-4</v>
      </c>
      <c r="P2" s="2">
        <v>5.0000002400000002E-4</v>
      </c>
      <c r="Q2" s="2">
        <v>5.0000002400000002E-4</v>
      </c>
      <c r="R2" s="2">
        <v>5.0000002400000002E-4</v>
      </c>
      <c r="S2" s="2">
        <v>5.0000002400000002E-4</v>
      </c>
      <c r="T2" s="2">
        <v>5.0000002400000002E-4</v>
      </c>
    </row>
    <row r="3" spans="1:20" x14ac:dyDescent="0.25">
      <c r="A3">
        <v>100</v>
      </c>
      <c r="B3" s="3">
        <f>M1</f>
        <v>9.9999997000000003E-5</v>
      </c>
      <c r="C3" s="3">
        <f t="shared" ref="C3:I10" si="0">N1</f>
        <v>9.9999997000000003E-5</v>
      </c>
      <c r="D3" s="3">
        <f t="shared" si="0"/>
        <v>9.9999997000000003E-5</v>
      </c>
      <c r="E3" s="3">
        <f t="shared" si="0"/>
        <v>9.9999997000000003E-5</v>
      </c>
      <c r="F3" s="3">
        <f t="shared" si="0"/>
        <v>9.9999997000000003E-5</v>
      </c>
      <c r="G3" s="3">
        <f t="shared" si="0"/>
        <v>9.9999997000000003E-5</v>
      </c>
      <c r="H3" s="3">
        <f t="shared" si="0"/>
        <v>9.9999997000000003E-5</v>
      </c>
      <c r="I3" s="3">
        <f t="shared" si="0"/>
        <v>9.9999997000000003E-5</v>
      </c>
      <c r="M3" s="2">
        <v>1E-3</v>
      </c>
      <c r="N3" s="2">
        <v>1E-3</v>
      </c>
      <c r="O3" s="2">
        <v>1E-3</v>
      </c>
      <c r="P3" s="2">
        <v>1E-3</v>
      </c>
      <c r="Q3" s="2">
        <v>1E-3</v>
      </c>
      <c r="R3" s="2">
        <v>1E-3</v>
      </c>
      <c r="S3" s="2">
        <v>1E-3</v>
      </c>
      <c r="T3" s="2">
        <v>1E-3</v>
      </c>
    </row>
    <row r="4" spans="1:20" x14ac:dyDescent="0.25">
      <c r="A4">
        <v>500</v>
      </c>
      <c r="B4" s="3">
        <f t="shared" ref="B4:B10" si="1">M2</f>
        <v>5.0000002400000002E-4</v>
      </c>
      <c r="C4" s="3">
        <f t="shared" si="0"/>
        <v>5.0000002400000002E-4</v>
      </c>
      <c r="D4" s="3">
        <f t="shared" si="0"/>
        <v>5.0000002400000002E-4</v>
      </c>
      <c r="E4" s="3">
        <f t="shared" si="0"/>
        <v>5.0000002400000002E-4</v>
      </c>
      <c r="F4" s="3">
        <f t="shared" si="0"/>
        <v>5.0000002400000002E-4</v>
      </c>
      <c r="G4" s="3">
        <f t="shared" si="0"/>
        <v>5.0000002400000002E-4</v>
      </c>
      <c r="H4" s="3">
        <f t="shared" si="0"/>
        <v>5.0000002400000002E-4</v>
      </c>
      <c r="I4" s="3">
        <f t="shared" si="0"/>
        <v>5.0000002400000002E-4</v>
      </c>
      <c r="M4" s="2">
        <v>5.0000000000000001E-3</v>
      </c>
      <c r="N4" s="2">
        <v>5.0000000000000001E-3</v>
      </c>
      <c r="O4" s="2">
        <v>5.0000000000000001E-3</v>
      </c>
      <c r="P4" s="2">
        <v>5.0000000000000001E-3</v>
      </c>
      <c r="Q4" s="2">
        <v>5.0000000000000001E-3</v>
      </c>
      <c r="R4" s="2">
        <v>5.0000000000000001E-3</v>
      </c>
      <c r="S4" s="2">
        <v>5.0000000000000001E-3</v>
      </c>
      <c r="T4" s="2">
        <v>5.0000000000000001E-3</v>
      </c>
    </row>
    <row r="5" spans="1:20" x14ac:dyDescent="0.25">
      <c r="A5">
        <v>1000</v>
      </c>
      <c r="B5" s="3">
        <f t="shared" si="1"/>
        <v>1E-3</v>
      </c>
      <c r="C5" s="3">
        <f t="shared" si="0"/>
        <v>1E-3</v>
      </c>
      <c r="D5" s="3">
        <f t="shared" si="0"/>
        <v>1E-3</v>
      </c>
      <c r="E5" s="3">
        <f t="shared" si="0"/>
        <v>1E-3</v>
      </c>
      <c r="F5" s="3">
        <f t="shared" si="0"/>
        <v>1E-3</v>
      </c>
      <c r="G5" s="3">
        <f t="shared" si="0"/>
        <v>1E-3</v>
      </c>
      <c r="H5" s="3">
        <f t="shared" si="0"/>
        <v>1E-3</v>
      </c>
      <c r="I5" s="3">
        <f t="shared" si="0"/>
        <v>1E-3</v>
      </c>
      <c r="M5" s="2">
        <v>0.01</v>
      </c>
      <c r="N5" s="2">
        <v>0.01</v>
      </c>
      <c r="O5" s="2">
        <v>0.01</v>
      </c>
      <c r="P5" s="2">
        <v>0.01</v>
      </c>
      <c r="Q5" s="2">
        <v>0.01</v>
      </c>
      <c r="R5" s="2">
        <v>0.01</v>
      </c>
      <c r="S5" s="2">
        <v>0.01</v>
      </c>
      <c r="T5" s="2">
        <v>0.01</v>
      </c>
    </row>
    <row r="6" spans="1:20" x14ac:dyDescent="0.25">
      <c r="A6">
        <v>5000</v>
      </c>
      <c r="B6" s="3">
        <f t="shared" si="1"/>
        <v>5.0000000000000001E-3</v>
      </c>
      <c r="C6" s="3">
        <f t="shared" si="0"/>
        <v>5.0000000000000001E-3</v>
      </c>
      <c r="D6" s="3">
        <f t="shared" si="0"/>
        <v>5.0000000000000001E-3</v>
      </c>
      <c r="E6" s="3">
        <f t="shared" si="0"/>
        <v>5.0000000000000001E-3</v>
      </c>
      <c r="F6" s="3">
        <f t="shared" si="0"/>
        <v>5.0000000000000001E-3</v>
      </c>
      <c r="G6" s="3">
        <f t="shared" si="0"/>
        <v>5.0000000000000001E-3</v>
      </c>
      <c r="H6" s="3">
        <f t="shared" si="0"/>
        <v>5.0000000000000001E-3</v>
      </c>
      <c r="I6" s="3">
        <f t="shared" si="0"/>
        <v>5.0000000000000001E-3</v>
      </c>
      <c r="M6" s="2">
        <v>4.9653760999999998E-2</v>
      </c>
      <c r="N6" s="2">
        <v>4.9321233999999999E-2</v>
      </c>
      <c r="O6" s="2">
        <v>4.9180500000000002E-2</v>
      </c>
      <c r="P6" s="2">
        <v>4.9507253000000001E-2</v>
      </c>
      <c r="Q6" s="2">
        <v>4.9128740999999997E-2</v>
      </c>
      <c r="R6" s="2">
        <v>4.9335215000000002E-2</v>
      </c>
      <c r="S6" s="2">
        <v>4.9280303999999997E-2</v>
      </c>
      <c r="T6" s="2">
        <v>4.9383799999999999E-2</v>
      </c>
    </row>
    <row r="7" spans="1:20" x14ac:dyDescent="0.25">
      <c r="A7">
        <v>10000</v>
      </c>
      <c r="B7" s="3">
        <f t="shared" si="1"/>
        <v>0.01</v>
      </c>
      <c r="C7" s="3">
        <f t="shared" si="0"/>
        <v>0.01</v>
      </c>
      <c r="D7" s="3">
        <f t="shared" si="0"/>
        <v>0.01</v>
      </c>
      <c r="E7" s="3">
        <f t="shared" si="0"/>
        <v>0.01</v>
      </c>
      <c r="F7" s="3">
        <f t="shared" si="0"/>
        <v>0.01</v>
      </c>
      <c r="G7" s="3">
        <f t="shared" si="0"/>
        <v>0.01</v>
      </c>
      <c r="H7" s="3">
        <f t="shared" si="0"/>
        <v>0.01</v>
      </c>
      <c r="I7" s="3">
        <f t="shared" si="0"/>
        <v>0.01</v>
      </c>
      <c r="M7" s="2">
        <v>9.9257796999999995E-2</v>
      </c>
      <c r="N7" s="2">
        <v>9.8648049000000002E-2</v>
      </c>
      <c r="O7" s="2">
        <v>9.8337635000000007E-2</v>
      </c>
      <c r="P7" s="2">
        <v>9.8979570000000003E-2</v>
      </c>
      <c r="Q7" s="2">
        <v>9.8292999000000006E-2</v>
      </c>
      <c r="R7" s="2">
        <v>9.8645248000000005E-2</v>
      </c>
      <c r="S7" s="2">
        <v>9.8550877999999995E-2</v>
      </c>
      <c r="T7" s="2">
        <v>9.8765119999999998E-2</v>
      </c>
    </row>
    <row r="8" spans="1:20" x14ac:dyDescent="0.25">
      <c r="A8">
        <v>50000</v>
      </c>
      <c r="B8" s="3">
        <f t="shared" si="1"/>
        <v>4.9653760999999998E-2</v>
      </c>
      <c r="C8" s="3">
        <f t="shared" si="0"/>
        <v>4.9321233999999999E-2</v>
      </c>
      <c r="D8" s="3">
        <f t="shared" si="0"/>
        <v>4.9180500000000002E-2</v>
      </c>
      <c r="E8" s="3">
        <f t="shared" si="0"/>
        <v>4.9507253000000001E-2</v>
      </c>
      <c r="F8" s="3">
        <f t="shared" si="0"/>
        <v>4.9128740999999997E-2</v>
      </c>
      <c r="G8" s="3">
        <f t="shared" si="0"/>
        <v>4.9335215000000002E-2</v>
      </c>
      <c r="H8" s="3">
        <f t="shared" si="0"/>
        <v>4.9280303999999997E-2</v>
      </c>
      <c r="I8" s="3">
        <f t="shared" si="0"/>
        <v>4.9383799999999999E-2</v>
      </c>
      <c r="M8" s="2">
        <v>0.13851919800000001</v>
      </c>
      <c r="N8" s="2">
        <v>0.13771715800000001</v>
      </c>
      <c r="O8" s="2">
        <v>0.13728334</v>
      </c>
      <c r="P8" s="2">
        <v>0.138157591</v>
      </c>
      <c r="Q8" s="2">
        <v>0.13725939400000001</v>
      </c>
      <c r="R8" s="2">
        <v>0.137703821</v>
      </c>
      <c r="S8" s="2">
        <v>0.13758574400000001</v>
      </c>
      <c r="T8" s="2">
        <v>0.137886748</v>
      </c>
    </row>
    <row r="9" spans="1:20" x14ac:dyDescent="0.25">
      <c r="A9">
        <v>100000</v>
      </c>
      <c r="B9" s="3">
        <f t="shared" si="1"/>
        <v>9.9257796999999995E-2</v>
      </c>
      <c r="C9" s="3">
        <f t="shared" si="0"/>
        <v>9.8648049000000002E-2</v>
      </c>
      <c r="D9" s="3">
        <f t="shared" si="0"/>
        <v>9.8337635000000007E-2</v>
      </c>
      <c r="E9" s="3">
        <f t="shared" si="0"/>
        <v>9.8979570000000003E-2</v>
      </c>
      <c r="F9" s="3">
        <f t="shared" si="0"/>
        <v>9.8292999000000006E-2</v>
      </c>
      <c r="G9" s="3">
        <f t="shared" si="0"/>
        <v>9.8645248000000005E-2</v>
      </c>
      <c r="H9" s="3">
        <f t="shared" si="0"/>
        <v>9.8550877999999995E-2</v>
      </c>
      <c r="I9" s="3">
        <f t="shared" si="0"/>
        <v>9.8765119999999998E-2</v>
      </c>
      <c r="M9" s="2">
        <v>1.4327904499999999E-4</v>
      </c>
      <c r="N9" s="2">
        <v>1.2032071400000001E-4</v>
      </c>
      <c r="O9" s="2">
        <v>9.2437462000000007E-5</v>
      </c>
      <c r="P9" s="2">
        <v>1.0819365E-4</v>
      </c>
      <c r="Q9" s="2">
        <v>1.1232378899999999E-4</v>
      </c>
      <c r="R9" s="2">
        <v>1.1767627400000001E-4</v>
      </c>
      <c r="S9" s="2">
        <v>1.27992273E-4</v>
      </c>
      <c r="T9" s="2">
        <v>1.0090452300000001E-4</v>
      </c>
    </row>
    <row r="10" spans="1:20" x14ac:dyDescent="0.25">
      <c r="A10">
        <v>140000</v>
      </c>
      <c r="B10" s="3">
        <f t="shared" si="1"/>
        <v>0.13851919800000001</v>
      </c>
      <c r="C10" s="3">
        <f t="shared" si="0"/>
        <v>0.13771715800000001</v>
      </c>
      <c r="D10" s="3">
        <f t="shared" si="0"/>
        <v>0.13728334</v>
      </c>
      <c r="E10" s="3">
        <f t="shared" si="0"/>
        <v>0.138157591</v>
      </c>
      <c r="F10" s="3">
        <f t="shared" si="0"/>
        <v>0.13725939400000001</v>
      </c>
      <c r="G10" s="3">
        <f t="shared" si="0"/>
        <v>0.137703821</v>
      </c>
      <c r="H10" s="3">
        <f t="shared" si="0"/>
        <v>0.13758574400000001</v>
      </c>
      <c r="I10" s="3">
        <f t="shared" si="0"/>
        <v>0.137886748</v>
      </c>
      <c r="M10" s="2">
        <v>3.4339481500000001E-4</v>
      </c>
      <c r="N10" s="2">
        <v>3.3408618799999999E-4</v>
      </c>
      <c r="O10" s="2">
        <v>3.4013367300000003E-4</v>
      </c>
      <c r="P10" s="2">
        <v>3.5267355299999998E-4</v>
      </c>
      <c r="Q10" s="2">
        <v>3.4568223099999999E-4</v>
      </c>
      <c r="R10" s="2">
        <v>3.2404588999999999E-4</v>
      </c>
      <c r="S10" s="2">
        <v>3.6018722999999999E-4</v>
      </c>
      <c r="T10" s="2">
        <v>3.4185842399999999E-4</v>
      </c>
    </row>
    <row r="11" spans="1:20" x14ac:dyDescent="0.25">
      <c r="M11" s="2">
        <v>7.5840967500000005E-4</v>
      </c>
      <c r="N11" s="2">
        <v>7.3902169200000002E-4</v>
      </c>
      <c r="O11" s="2">
        <v>7.4906478400000003E-4</v>
      </c>
      <c r="P11" s="2">
        <v>7.6447025600000001E-4</v>
      </c>
      <c r="Q11" s="2">
        <v>7.5305870300000004E-4</v>
      </c>
      <c r="R11" s="2">
        <v>7.5939384999999999E-4</v>
      </c>
      <c r="S11" s="2">
        <v>7.5143342800000005E-4</v>
      </c>
      <c r="T11" s="2">
        <v>7.5859099200000001E-4</v>
      </c>
    </row>
    <row r="12" spans="1:20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M12" s="2">
        <v>4.7142360000000001E-3</v>
      </c>
      <c r="N12" s="2">
        <v>4.6898809999999999E-3</v>
      </c>
      <c r="O12" s="2">
        <v>4.6807419999999999E-3</v>
      </c>
      <c r="P12" s="2">
        <v>4.6991519999999998E-3</v>
      </c>
      <c r="Q12" s="2">
        <v>4.7008359999999999E-3</v>
      </c>
      <c r="R12" s="2">
        <v>4.6836409999999997E-3</v>
      </c>
      <c r="S12" s="2">
        <v>4.6854089999999998E-3</v>
      </c>
      <c r="T12" s="2">
        <v>4.692641E-3</v>
      </c>
    </row>
    <row r="13" spans="1:20" x14ac:dyDescent="0.25">
      <c r="A13" t="s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M13" s="2">
        <v>9.6913989999999998E-3</v>
      </c>
      <c r="N13" s="2">
        <v>9.6087350000000002E-3</v>
      </c>
      <c r="O13" s="2">
        <v>9.5906029999999996E-3</v>
      </c>
      <c r="P13" s="2">
        <v>9.6345509999999999E-3</v>
      </c>
      <c r="Q13" s="2">
        <v>9.6105119999999999E-3</v>
      </c>
      <c r="R13" s="2">
        <v>9.6409660000000008E-3</v>
      </c>
      <c r="S13" s="2">
        <v>9.6443950000000001E-3</v>
      </c>
      <c r="T13" s="2">
        <v>9.6232020000000008E-3</v>
      </c>
    </row>
    <row r="14" spans="1:20" x14ac:dyDescent="0.25">
      <c r="A14">
        <v>100</v>
      </c>
      <c r="B14" s="3">
        <f>M9*1000000</f>
        <v>143.279045</v>
      </c>
      <c r="C14" s="3">
        <f t="shared" ref="C14:I14" si="2">N9*1000000</f>
        <v>120.32071400000001</v>
      </c>
      <c r="D14" s="3">
        <f t="shared" si="2"/>
        <v>92.437462000000011</v>
      </c>
      <c r="E14" s="3">
        <f t="shared" si="2"/>
        <v>108.19365000000001</v>
      </c>
      <c r="F14" s="3">
        <f t="shared" si="2"/>
        <v>112.32378899999999</v>
      </c>
      <c r="G14" s="3">
        <f t="shared" si="2"/>
        <v>117.67627400000001</v>
      </c>
      <c r="H14" s="3">
        <f t="shared" si="2"/>
        <v>127.992273</v>
      </c>
      <c r="I14" s="3">
        <f t="shared" si="2"/>
        <v>100.90452300000001</v>
      </c>
      <c r="M14" s="2">
        <v>4.8971523000000003E-2</v>
      </c>
      <c r="N14" s="2">
        <v>4.8679106E-2</v>
      </c>
      <c r="O14" s="2">
        <v>4.8527832999999999E-2</v>
      </c>
      <c r="P14" s="2">
        <v>4.8900235E-2</v>
      </c>
      <c r="Q14" s="2">
        <v>4.8685428000000003E-2</v>
      </c>
      <c r="R14" s="2">
        <v>4.8609554999999999E-2</v>
      </c>
      <c r="S14" s="2">
        <v>4.8649116999999999E-2</v>
      </c>
      <c r="T14" s="2">
        <v>4.8746556000000003E-2</v>
      </c>
    </row>
    <row r="15" spans="1:20" x14ac:dyDescent="0.25">
      <c r="A15">
        <v>500</v>
      </c>
      <c r="B15" s="3">
        <f>M10*1000000</f>
        <v>343.39481499999999</v>
      </c>
      <c r="C15" s="3">
        <f t="shared" ref="C15:C20" si="3">N10*1000000</f>
        <v>334.08618799999999</v>
      </c>
      <c r="D15" s="3">
        <f t="shared" ref="D15:D20" si="4">O10*1000000</f>
        <v>340.13367300000004</v>
      </c>
      <c r="E15" s="3">
        <f t="shared" ref="E15:E20" si="5">P10*1000000</f>
        <v>352.67355299999997</v>
      </c>
      <c r="F15" s="3">
        <f t="shared" ref="F15:F20" si="6">Q10*1000000</f>
        <v>345.682231</v>
      </c>
      <c r="G15" s="3">
        <f t="shared" ref="G15:G20" si="7">R10*1000000</f>
        <v>324.04588999999999</v>
      </c>
      <c r="H15" s="3">
        <f t="shared" ref="H15:H20" si="8">S10*1000000</f>
        <v>360.18723</v>
      </c>
      <c r="I15" s="3">
        <f t="shared" ref="I15:I20" si="9">T10*1000000</f>
        <v>341.85842400000001</v>
      </c>
      <c r="M15" s="2">
        <v>9.8080135999999998E-2</v>
      </c>
      <c r="N15" s="2">
        <v>9.7578891000000001E-2</v>
      </c>
      <c r="O15" s="2">
        <v>9.7522057999999995E-2</v>
      </c>
      <c r="P15" s="2">
        <v>9.7994179000000001E-2</v>
      </c>
      <c r="Q15" s="2">
        <v>9.7385845999999998E-2</v>
      </c>
      <c r="R15" s="2">
        <v>9.7453265999999997E-2</v>
      </c>
      <c r="S15" s="2">
        <v>9.7543694E-2</v>
      </c>
      <c r="T15" s="2">
        <v>9.7655423000000005E-2</v>
      </c>
    </row>
    <row r="16" spans="1:20" x14ac:dyDescent="0.25">
      <c r="A16">
        <v>1000</v>
      </c>
      <c r="B16" s="3">
        <f t="shared" ref="B16:B20" si="10">M11*1000000</f>
        <v>758.40967499999999</v>
      </c>
      <c r="C16" s="3">
        <f>N11*1000000</f>
        <v>739.02169200000003</v>
      </c>
      <c r="D16" s="3">
        <f t="shared" si="4"/>
        <v>749.06478400000003</v>
      </c>
      <c r="E16" s="3">
        <f t="shared" si="5"/>
        <v>764.47025600000006</v>
      </c>
      <c r="F16" s="3">
        <f t="shared" si="6"/>
        <v>753.05870300000004</v>
      </c>
      <c r="G16" s="3">
        <f t="shared" si="7"/>
        <v>759.39385000000004</v>
      </c>
      <c r="H16" s="3">
        <f t="shared" si="8"/>
        <v>751.43342800000005</v>
      </c>
      <c r="I16" s="3">
        <f t="shared" si="9"/>
        <v>758.59099200000003</v>
      </c>
      <c r="M16" s="2">
        <v>0.13710075599999999</v>
      </c>
      <c r="N16" s="2">
        <v>0.13633622200000001</v>
      </c>
      <c r="O16" s="2">
        <v>0.13645607200000001</v>
      </c>
      <c r="P16" s="2">
        <v>0.137001291</v>
      </c>
      <c r="Q16" s="2">
        <v>0.13603758799999999</v>
      </c>
      <c r="R16" s="2">
        <v>0.136684373</v>
      </c>
      <c r="S16" s="2">
        <v>0.13648934700000001</v>
      </c>
      <c r="T16" s="2">
        <v>0.136221856</v>
      </c>
    </row>
    <row r="17" spans="1:20" x14ac:dyDescent="0.25">
      <c r="A17">
        <v>5000</v>
      </c>
      <c r="B17" s="3">
        <f t="shared" si="10"/>
        <v>4714.2359999999999</v>
      </c>
      <c r="C17" s="3">
        <f t="shared" si="3"/>
        <v>4689.8810000000003</v>
      </c>
      <c r="D17" s="3">
        <f t="shared" si="4"/>
        <v>4680.7420000000002</v>
      </c>
      <c r="E17" s="3">
        <f t="shared" si="5"/>
        <v>4699.152</v>
      </c>
      <c r="F17" s="3">
        <f t="shared" si="6"/>
        <v>4700.8360000000002</v>
      </c>
      <c r="G17" s="3">
        <f t="shared" si="7"/>
        <v>4683.6409999999996</v>
      </c>
      <c r="H17" s="3">
        <f t="shared" si="8"/>
        <v>4685.4089999999997</v>
      </c>
      <c r="I17" s="3">
        <f t="shared" si="9"/>
        <v>4692.6409999999996</v>
      </c>
      <c r="M17" s="2">
        <v>9.9999997000000003E-5</v>
      </c>
      <c r="N17" s="2">
        <v>9.9999997000000003E-5</v>
      </c>
      <c r="O17" s="2">
        <v>9.9999997000000003E-5</v>
      </c>
      <c r="P17" s="2">
        <v>9.9999997000000003E-5</v>
      </c>
      <c r="Q17" s="2">
        <v>9.9999997000000003E-5</v>
      </c>
      <c r="R17" s="2">
        <v>9.9999997000000003E-5</v>
      </c>
      <c r="S17" s="2">
        <v>9.9999997000000003E-5</v>
      </c>
      <c r="T17" s="2">
        <v>9.9999997000000003E-5</v>
      </c>
    </row>
    <row r="18" spans="1:20" x14ac:dyDescent="0.25">
      <c r="A18">
        <v>10000</v>
      </c>
      <c r="B18" s="3">
        <f t="shared" si="10"/>
        <v>9691.3989999999994</v>
      </c>
      <c r="C18" s="3">
        <f t="shared" si="3"/>
        <v>9608.7350000000006</v>
      </c>
      <c r="D18" s="3">
        <f t="shared" si="4"/>
        <v>9590.6029999999992</v>
      </c>
      <c r="E18" s="3">
        <f t="shared" si="5"/>
        <v>9634.5509999999995</v>
      </c>
      <c r="F18" s="3">
        <f t="shared" si="6"/>
        <v>9610.5120000000006</v>
      </c>
      <c r="G18" s="3">
        <f t="shared" si="7"/>
        <v>9640.9660000000003</v>
      </c>
      <c r="H18" s="3">
        <f t="shared" si="8"/>
        <v>9644.3950000000004</v>
      </c>
      <c r="I18" s="3">
        <f t="shared" si="9"/>
        <v>9623.2020000000011</v>
      </c>
      <c r="M18" s="2">
        <v>5.0000002400000002E-4</v>
      </c>
      <c r="N18" s="2">
        <v>5.0000002400000002E-4</v>
      </c>
      <c r="O18" s="2">
        <v>5.0000002400000002E-4</v>
      </c>
      <c r="P18" s="2">
        <v>5.0000002400000002E-4</v>
      </c>
      <c r="Q18" s="2">
        <v>5.0000002400000002E-4</v>
      </c>
      <c r="R18" s="2">
        <v>5.0000002400000002E-4</v>
      </c>
      <c r="S18" s="2">
        <v>5.0000002400000002E-4</v>
      </c>
      <c r="T18" s="2">
        <v>5.0000002400000002E-4</v>
      </c>
    </row>
    <row r="19" spans="1:20" x14ac:dyDescent="0.25">
      <c r="A19">
        <v>50000</v>
      </c>
      <c r="B19" s="3">
        <f t="shared" si="10"/>
        <v>48971.523000000001</v>
      </c>
      <c r="C19" s="3">
        <f t="shared" si="3"/>
        <v>48679.106</v>
      </c>
      <c r="D19" s="3">
        <f t="shared" si="4"/>
        <v>48527.832999999999</v>
      </c>
      <c r="E19" s="3">
        <f t="shared" si="5"/>
        <v>48900.235000000001</v>
      </c>
      <c r="F19" s="3">
        <f t="shared" si="6"/>
        <v>48685.428</v>
      </c>
      <c r="G19" s="3">
        <f t="shared" si="7"/>
        <v>48609.555</v>
      </c>
      <c r="H19" s="3">
        <f t="shared" si="8"/>
        <v>48649.116999999998</v>
      </c>
      <c r="I19" s="3">
        <f t="shared" si="9"/>
        <v>48746.556000000004</v>
      </c>
      <c r="M19" s="2">
        <v>1E-3</v>
      </c>
      <c r="N19" s="2">
        <v>1E-3</v>
      </c>
      <c r="O19" s="2">
        <v>1E-3</v>
      </c>
      <c r="P19" s="2">
        <v>1E-3</v>
      </c>
      <c r="Q19" s="2">
        <v>1E-3</v>
      </c>
      <c r="R19" s="2">
        <v>1E-3</v>
      </c>
      <c r="S19" s="2">
        <v>1E-3</v>
      </c>
      <c r="T19" s="2">
        <v>1E-3</v>
      </c>
    </row>
    <row r="20" spans="1:20" x14ac:dyDescent="0.25">
      <c r="A20">
        <v>100000</v>
      </c>
      <c r="B20" s="3">
        <f t="shared" si="10"/>
        <v>98080.135999999999</v>
      </c>
      <c r="C20" s="3">
        <f t="shared" si="3"/>
        <v>97578.891000000003</v>
      </c>
      <c r="D20" s="3">
        <f t="shared" si="4"/>
        <v>97522.05799999999</v>
      </c>
      <c r="E20" s="3">
        <f t="shared" si="5"/>
        <v>97994.179000000004</v>
      </c>
      <c r="F20" s="3">
        <f t="shared" si="6"/>
        <v>97385.846000000005</v>
      </c>
      <c r="G20" s="3">
        <f t="shared" si="7"/>
        <v>97453.266000000003</v>
      </c>
      <c r="H20" s="3">
        <f t="shared" si="8"/>
        <v>97543.694000000003</v>
      </c>
      <c r="I20" s="3">
        <f t="shared" si="9"/>
        <v>97655.42300000001</v>
      </c>
      <c r="M20" s="2">
        <v>5.0000000000000001E-3</v>
      </c>
      <c r="N20" s="2">
        <v>5.0000000000000001E-3</v>
      </c>
      <c r="O20" s="2">
        <v>5.0000000000000001E-3</v>
      </c>
      <c r="P20" s="2">
        <v>5.0000000000000001E-3</v>
      </c>
      <c r="Q20" s="2">
        <v>5.0000000000000001E-3</v>
      </c>
      <c r="R20" s="2">
        <v>5.0000000000000001E-3</v>
      </c>
      <c r="S20" s="2">
        <v>5.0000000000000001E-3</v>
      </c>
      <c r="T20" s="2">
        <v>5.0000000000000001E-3</v>
      </c>
    </row>
    <row r="21" spans="1:20" x14ac:dyDescent="0.25">
      <c r="A21">
        <v>140000</v>
      </c>
      <c r="B21" s="3">
        <f t="shared" ref="B21:I21" si="11">M16*1000000</f>
        <v>137100.75599999999</v>
      </c>
      <c r="C21" s="3">
        <f t="shared" si="11"/>
        <v>136336.22200000001</v>
      </c>
      <c r="D21" s="3">
        <f t="shared" si="11"/>
        <v>136456.07200000001</v>
      </c>
      <c r="E21" s="3">
        <f t="shared" si="11"/>
        <v>137001.291</v>
      </c>
      <c r="F21" s="3">
        <f t="shared" si="11"/>
        <v>136037.58799999999</v>
      </c>
      <c r="G21" s="3">
        <f t="shared" si="11"/>
        <v>136684.37299999999</v>
      </c>
      <c r="H21" s="3">
        <f t="shared" si="11"/>
        <v>136489.34700000001</v>
      </c>
      <c r="I21" s="3">
        <f t="shared" si="11"/>
        <v>136221.856</v>
      </c>
      <c r="M21" s="2">
        <v>0.01</v>
      </c>
      <c r="N21" s="2">
        <v>0.01</v>
      </c>
      <c r="O21" s="2">
        <v>0.01</v>
      </c>
      <c r="P21" s="2">
        <v>0.01</v>
      </c>
      <c r="Q21" s="2">
        <v>0.01</v>
      </c>
      <c r="R21" s="2">
        <v>0.01</v>
      </c>
      <c r="S21" s="2">
        <v>0.01</v>
      </c>
      <c r="T21" s="2">
        <v>0.01</v>
      </c>
    </row>
    <row r="22" spans="1:20" x14ac:dyDescent="0.25">
      <c r="M22" s="2">
        <v>4.9657185E-2</v>
      </c>
      <c r="N22" s="2">
        <v>4.9322214000000003E-2</v>
      </c>
      <c r="O22" s="2">
        <v>4.9180210000000002E-2</v>
      </c>
      <c r="P22" s="2">
        <v>4.9510393E-2</v>
      </c>
      <c r="Q22" s="2">
        <v>4.9127109000000002E-2</v>
      </c>
      <c r="R22" s="2">
        <v>4.9333009999999997E-2</v>
      </c>
      <c r="S22" s="2">
        <v>4.9280927000000002E-2</v>
      </c>
      <c r="T22" s="2">
        <v>4.9382417999999997E-2</v>
      </c>
    </row>
    <row r="23" spans="1:20" x14ac:dyDescent="0.25">
      <c r="A23" s="5" t="s">
        <v>4</v>
      </c>
      <c r="B23" s="5"/>
      <c r="C23" s="5"/>
      <c r="D23" s="5"/>
      <c r="E23" s="5"/>
      <c r="F23" s="5"/>
      <c r="G23" s="5"/>
      <c r="H23" s="5"/>
      <c r="I23" s="5"/>
      <c r="M23" s="2">
        <v>9.9257380000000006E-2</v>
      </c>
      <c r="N23" s="2">
        <v>9.8652601000000006E-2</v>
      </c>
      <c r="O23" s="2">
        <v>9.8352060000000005E-2</v>
      </c>
      <c r="P23" s="2">
        <v>9.8990790999999995E-2</v>
      </c>
      <c r="Q23" s="2">
        <v>9.8291390000000006E-2</v>
      </c>
      <c r="R23" s="2">
        <v>9.8654150999999995E-2</v>
      </c>
      <c r="S23" s="2">
        <v>9.8553099000000005E-2</v>
      </c>
      <c r="T23" s="2">
        <v>9.8756610999999994E-2</v>
      </c>
    </row>
    <row r="24" spans="1:20" x14ac:dyDescent="0.25">
      <c r="A24" t="s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M24" s="2">
        <v>0.13853174400000001</v>
      </c>
      <c r="N24" s="2">
        <v>0.13772116600000001</v>
      </c>
      <c r="O24" s="2">
        <v>0.13727302799999999</v>
      </c>
      <c r="P24" s="2">
        <v>0.13815058799999999</v>
      </c>
      <c r="Q24" s="2">
        <v>0.137254819</v>
      </c>
      <c r="R24" s="2">
        <v>0.13769927600000001</v>
      </c>
      <c r="S24" s="2">
        <v>0.137584448</v>
      </c>
      <c r="T24" s="2">
        <v>0.137880057</v>
      </c>
    </row>
    <row r="25" spans="1:20" x14ac:dyDescent="0.25">
      <c r="A25">
        <v>100</v>
      </c>
      <c r="B25" s="1">
        <f>B14-B3</f>
        <v>143.27894500000301</v>
      </c>
      <c r="C25" s="1">
        <f t="shared" ref="C25:I25" si="12">C14-C3</f>
        <v>120.320614000003</v>
      </c>
      <c r="D25" s="1">
        <f t="shared" si="12"/>
        <v>92.437362000003006</v>
      </c>
      <c r="E25" s="1">
        <f t="shared" si="12"/>
        <v>108.193550000003</v>
      </c>
      <c r="F25" s="1">
        <f t="shared" si="12"/>
        <v>112.32368900000299</v>
      </c>
      <c r="G25" s="1">
        <f t="shared" si="12"/>
        <v>117.676174000003</v>
      </c>
      <c r="H25" s="1">
        <f t="shared" si="12"/>
        <v>127.99217300000299</v>
      </c>
      <c r="I25" s="1">
        <f t="shared" si="12"/>
        <v>100.90442300000301</v>
      </c>
      <c r="M25" s="2">
        <v>1.5249993899999999E-4</v>
      </c>
      <c r="N25" s="2">
        <v>1.4064095700000001E-4</v>
      </c>
      <c r="O25" s="2">
        <v>1.4630715299999999E-4</v>
      </c>
      <c r="P25" s="2">
        <v>1.4388884299999999E-4</v>
      </c>
      <c r="Q25" s="2">
        <v>1.5208304100000001E-4</v>
      </c>
      <c r="R25" s="2">
        <v>1.56417998E-4</v>
      </c>
      <c r="S25" s="2">
        <v>1.3809143299999999E-4</v>
      </c>
      <c r="T25" s="2">
        <v>1.4500779800000001E-4</v>
      </c>
    </row>
    <row r="26" spans="1:20" x14ac:dyDescent="0.25">
      <c r="A26">
        <v>500</v>
      </c>
      <c r="B26" s="1">
        <f t="shared" ref="B26:I26" si="13">B15-B4</f>
        <v>343.39431499997602</v>
      </c>
      <c r="C26" s="1">
        <f t="shared" si="13"/>
        <v>334.08568799997602</v>
      </c>
      <c r="D26" s="1">
        <f t="shared" si="13"/>
        <v>340.13317299997607</v>
      </c>
      <c r="E26" s="1">
        <f t="shared" si="13"/>
        <v>352.67305299997599</v>
      </c>
      <c r="F26" s="1">
        <f t="shared" si="13"/>
        <v>345.68173099997603</v>
      </c>
      <c r="G26" s="1">
        <f t="shared" si="13"/>
        <v>324.04538999997601</v>
      </c>
      <c r="H26" s="1">
        <f t="shared" si="13"/>
        <v>360.18672999997602</v>
      </c>
      <c r="I26" s="1">
        <f t="shared" si="13"/>
        <v>341.85792399997604</v>
      </c>
      <c r="M26" s="2">
        <v>4.8140744899999999E-4</v>
      </c>
      <c r="N26" s="2">
        <v>4.8673912500000002E-4</v>
      </c>
      <c r="O26" s="2">
        <v>4.9431267000000004E-4</v>
      </c>
      <c r="P26" s="2">
        <v>4.8781884800000002E-4</v>
      </c>
      <c r="Q26" s="2">
        <v>4.8768019800000001E-4</v>
      </c>
      <c r="R26" s="2">
        <v>4.8726514800000002E-4</v>
      </c>
      <c r="S26" s="2">
        <v>4.8279372300000001E-4</v>
      </c>
      <c r="T26" s="2">
        <v>4.8004451699999999E-4</v>
      </c>
    </row>
    <row r="27" spans="1:20" x14ac:dyDescent="0.25">
      <c r="A27">
        <v>1000</v>
      </c>
      <c r="B27" s="1">
        <f t="shared" ref="B27:I27" si="14">B16-B5</f>
        <v>758.40867500000002</v>
      </c>
      <c r="C27" s="1">
        <f t="shared" si="14"/>
        <v>739.02069200000005</v>
      </c>
      <c r="D27" s="1">
        <f t="shared" si="14"/>
        <v>749.06378400000006</v>
      </c>
      <c r="E27" s="1">
        <f t="shared" si="14"/>
        <v>764.46925600000009</v>
      </c>
      <c r="F27" s="1">
        <f t="shared" si="14"/>
        <v>753.05770300000006</v>
      </c>
      <c r="G27" s="1">
        <f t="shared" si="14"/>
        <v>759.39285000000007</v>
      </c>
      <c r="H27" s="1">
        <f t="shared" si="14"/>
        <v>751.43242800000007</v>
      </c>
      <c r="I27" s="1">
        <f t="shared" si="14"/>
        <v>758.58999200000005</v>
      </c>
      <c r="M27" s="2">
        <v>9.8831742099999989E-4</v>
      </c>
      <c r="N27" s="2">
        <v>9.7154261299999998E-4</v>
      </c>
      <c r="O27" s="2">
        <v>9.8478992000000003E-4</v>
      </c>
      <c r="P27" s="2">
        <v>9.7897730300000011E-4</v>
      </c>
      <c r="Q27" s="2">
        <v>9.8658294900000006E-4</v>
      </c>
      <c r="R27" s="2">
        <v>9.9140463900000003E-4</v>
      </c>
      <c r="S27" s="2">
        <v>9.6484430800000004E-4</v>
      </c>
      <c r="T27" s="2">
        <v>9.6528546399999996E-4</v>
      </c>
    </row>
    <row r="28" spans="1:20" x14ac:dyDescent="0.25">
      <c r="A28">
        <v>5000</v>
      </c>
      <c r="B28" s="1">
        <f t="shared" ref="B28:I28" si="15">B17-B6</f>
        <v>4714.2309999999998</v>
      </c>
      <c r="C28" s="1">
        <f t="shared" si="15"/>
        <v>4689.8760000000002</v>
      </c>
      <c r="D28" s="1">
        <f t="shared" si="15"/>
        <v>4680.7370000000001</v>
      </c>
      <c r="E28" s="1">
        <f t="shared" si="15"/>
        <v>4699.1469999999999</v>
      </c>
      <c r="F28" s="1">
        <f t="shared" si="15"/>
        <v>4700.8310000000001</v>
      </c>
      <c r="G28" s="1">
        <f t="shared" si="15"/>
        <v>4683.6359999999995</v>
      </c>
      <c r="H28" s="1">
        <f t="shared" si="15"/>
        <v>4685.4039999999995</v>
      </c>
      <c r="I28" s="1">
        <f t="shared" si="15"/>
        <v>4692.6359999999995</v>
      </c>
      <c r="M28" s="2">
        <v>4.945044E-3</v>
      </c>
      <c r="N28" s="2">
        <v>4.9320550000000003E-3</v>
      </c>
      <c r="O28" s="2">
        <v>4.9637290000000001E-3</v>
      </c>
      <c r="P28" s="2">
        <v>4.9496030000000003E-3</v>
      </c>
      <c r="Q28" s="2">
        <v>4.9678450000000002E-3</v>
      </c>
      <c r="R28" s="2">
        <v>4.9425449999999996E-3</v>
      </c>
      <c r="S28" s="2">
        <v>4.9452649999999999E-3</v>
      </c>
      <c r="T28" s="2">
        <v>4.9295800000000002E-3</v>
      </c>
    </row>
    <row r="29" spans="1:20" x14ac:dyDescent="0.25">
      <c r="A29">
        <v>10000</v>
      </c>
      <c r="B29" s="1">
        <f t="shared" ref="B29:I29" si="16">B18-B7</f>
        <v>9691.3889999999992</v>
      </c>
      <c r="C29" s="1">
        <f t="shared" si="16"/>
        <v>9608.7250000000004</v>
      </c>
      <c r="D29" s="1">
        <f t="shared" si="16"/>
        <v>9590.5929999999989</v>
      </c>
      <c r="E29" s="1">
        <f t="shared" si="16"/>
        <v>9634.5409999999993</v>
      </c>
      <c r="F29" s="1">
        <f t="shared" si="16"/>
        <v>9610.5020000000004</v>
      </c>
      <c r="G29" s="1">
        <f t="shared" si="16"/>
        <v>9640.9560000000001</v>
      </c>
      <c r="H29" s="1">
        <f t="shared" si="16"/>
        <v>9644.3850000000002</v>
      </c>
      <c r="I29" s="1">
        <f t="shared" si="16"/>
        <v>9623.1920000000009</v>
      </c>
      <c r="M29" s="2">
        <v>9.9152419999999995E-3</v>
      </c>
      <c r="N29" s="2">
        <v>9.9014270000000008E-3</v>
      </c>
      <c r="O29" s="2">
        <v>9.9509590000000005E-3</v>
      </c>
      <c r="P29" s="2">
        <v>9.9225609999999999E-3</v>
      </c>
      <c r="Q29" s="2">
        <v>9.9393869999999992E-3</v>
      </c>
      <c r="R29" s="2">
        <v>9.9205419999999992E-3</v>
      </c>
      <c r="S29" s="2">
        <v>9.8962040000000005E-3</v>
      </c>
      <c r="T29" s="2">
        <v>9.8879759999999997E-3</v>
      </c>
    </row>
    <row r="30" spans="1:20" x14ac:dyDescent="0.25">
      <c r="A30">
        <v>50000</v>
      </c>
      <c r="B30" s="1">
        <f t="shared" ref="B30:I30" si="17">B19-B8</f>
        <v>48971.473346239</v>
      </c>
      <c r="C30" s="1">
        <f t="shared" si="17"/>
        <v>48679.056678765999</v>
      </c>
      <c r="D30" s="1">
        <f t="shared" si="17"/>
        <v>48527.7838195</v>
      </c>
      <c r="E30" s="1">
        <f t="shared" si="17"/>
        <v>48900.185492746998</v>
      </c>
      <c r="F30" s="1">
        <f t="shared" si="17"/>
        <v>48685.378871259003</v>
      </c>
      <c r="G30" s="1">
        <f t="shared" si="17"/>
        <v>48609.505664785</v>
      </c>
      <c r="H30" s="1">
        <f t="shared" si="17"/>
        <v>48649.067719695995</v>
      </c>
      <c r="I30" s="1">
        <f t="shared" si="17"/>
        <v>48746.506616200008</v>
      </c>
      <c r="M30" s="2">
        <v>4.9462076000000001E-2</v>
      </c>
      <c r="N30" s="2">
        <v>4.9399658999999999E-2</v>
      </c>
      <c r="O30" s="2">
        <v>4.9613386000000002E-2</v>
      </c>
      <c r="P30" s="2">
        <v>4.950073E-2</v>
      </c>
      <c r="Q30" s="2">
        <v>4.9618807000000001E-2</v>
      </c>
      <c r="R30" s="2">
        <v>4.9608263999999999E-2</v>
      </c>
      <c r="S30" s="2">
        <v>4.947878E-2</v>
      </c>
      <c r="T30" s="2">
        <v>4.9246727999999997E-2</v>
      </c>
    </row>
    <row r="31" spans="1:20" x14ac:dyDescent="0.25">
      <c r="A31">
        <v>100000</v>
      </c>
      <c r="B31" s="1">
        <f t="shared" ref="B31:I31" si="18">B20-B9</f>
        <v>98080.036742202996</v>
      </c>
      <c r="C31" s="1">
        <f t="shared" si="18"/>
        <v>97578.792351951008</v>
      </c>
      <c r="D31" s="1">
        <f t="shared" si="18"/>
        <v>97521.959662364985</v>
      </c>
      <c r="E31" s="1">
        <f t="shared" si="18"/>
        <v>97994.080020430003</v>
      </c>
      <c r="F31" s="1">
        <f t="shared" si="18"/>
        <v>97385.747707001006</v>
      </c>
      <c r="G31" s="1">
        <f t="shared" si="18"/>
        <v>97453.167354752004</v>
      </c>
      <c r="H31" s="1">
        <f t="shared" si="18"/>
        <v>97543.595449122004</v>
      </c>
      <c r="I31" s="1">
        <f t="shared" si="18"/>
        <v>97655.324234880012</v>
      </c>
      <c r="M31" s="2">
        <v>9.8821133000000005E-2</v>
      </c>
      <c r="N31" s="2">
        <v>9.8632857000000004E-2</v>
      </c>
      <c r="O31" s="2">
        <v>9.9286689999999997E-2</v>
      </c>
      <c r="P31" s="2">
        <v>9.8927698999999994E-2</v>
      </c>
      <c r="Q31" s="2">
        <v>9.8993323999999994E-2</v>
      </c>
      <c r="R31" s="2">
        <v>9.9263869000000005E-2</v>
      </c>
      <c r="S31" s="2">
        <v>9.8892674E-2</v>
      </c>
      <c r="T31" s="2">
        <v>9.8489434000000001E-2</v>
      </c>
    </row>
    <row r="32" spans="1:20" x14ac:dyDescent="0.25">
      <c r="A32">
        <v>140000</v>
      </c>
      <c r="B32" s="1">
        <f t="shared" ref="B32:I32" si="19">B21-B10</f>
        <v>137100.617480802</v>
      </c>
      <c r="C32" s="1">
        <f t="shared" si="19"/>
        <v>136336.084282842</v>
      </c>
      <c r="D32" s="1">
        <f t="shared" si="19"/>
        <v>136455.93471666001</v>
      </c>
      <c r="E32" s="1">
        <f t="shared" si="19"/>
        <v>137001.15284240901</v>
      </c>
      <c r="F32" s="1">
        <f t="shared" si="19"/>
        <v>136037.450740606</v>
      </c>
      <c r="G32" s="1">
        <f t="shared" si="19"/>
        <v>136684.23529617899</v>
      </c>
      <c r="H32" s="1">
        <f t="shared" si="19"/>
        <v>136489.20941425601</v>
      </c>
      <c r="I32" s="1">
        <f t="shared" si="19"/>
        <v>136221.71811325199</v>
      </c>
      <c r="M32" s="2">
        <v>0.115692213</v>
      </c>
      <c r="N32" s="2">
        <v>0.11365082899999999</v>
      </c>
      <c r="O32" s="2">
        <v>0.11513762900000001</v>
      </c>
      <c r="P32" s="2">
        <v>0.11497713599999999</v>
      </c>
      <c r="Q32" s="2">
        <v>0.112903349</v>
      </c>
      <c r="R32" s="2">
        <v>0.114548489</v>
      </c>
      <c r="S32" s="2">
        <v>0.11361903700000001</v>
      </c>
      <c r="T32" s="2">
        <v>0.114151902</v>
      </c>
    </row>
    <row r="33" spans="1:20" x14ac:dyDescent="0.25">
      <c r="M33" s="2">
        <v>9.9999997000000003E-5</v>
      </c>
      <c r="N33" s="2">
        <v>9.9999997000000003E-5</v>
      </c>
      <c r="O33" s="2">
        <v>9.9999997000000003E-5</v>
      </c>
      <c r="P33" s="2">
        <v>9.9999997000000003E-5</v>
      </c>
      <c r="Q33" s="2">
        <v>9.9999997000000003E-5</v>
      </c>
      <c r="R33" s="2">
        <v>9.9999997000000003E-5</v>
      </c>
      <c r="S33" s="2">
        <v>9.9999997000000003E-5</v>
      </c>
      <c r="T33" s="2">
        <v>9.9999997000000003E-5</v>
      </c>
    </row>
    <row r="34" spans="1:20" x14ac:dyDescent="0.25">
      <c r="M34" s="2">
        <v>5.0000002400000002E-4</v>
      </c>
      <c r="N34" s="2">
        <v>5.0000002400000002E-4</v>
      </c>
      <c r="O34" s="2">
        <v>5.0000002400000002E-4</v>
      </c>
      <c r="P34" s="2">
        <v>5.0000002400000002E-4</v>
      </c>
      <c r="Q34" s="2">
        <v>5.0000002400000002E-4</v>
      </c>
      <c r="R34" s="2">
        <v>5.0000002400000002E-4</v>
      </c>
      <c r="S34" s="2">
        <v>5.0000002400000002E-4</v>
      </c>
      <c r="T34" s="2">
        <v>5.0000002400000002E-4</v>
      </c>
    </row>
    <row r="35" spans="1:20" x14ac:dyDescent="0.25">
      <c r="A35" s="4" t="s">
        <v>5</v>
      </c>
      <c r="B35" s="4"/>
      <c r="C35" s="4"/>
      <c r="D35" s="4"/>
      <c r="E35" s="4"/>
      <c r="F35" s="4"/>
      <c r="G35" s="4"/>
      <c r="H35" s="4"/>
      <c r="I35" s="4"/>
      <c r="M35" s="2">
        <v>1E-3</v>
      </c>
      <c r="N35" s="2">
        <v>1E-3</v>
      </c>
      <c r="O35" s="2">
        <v>1E-3</v>
      </c>
      <c r="P35" s="2">
        <v>1E-3</v>
      </c>
      <c r="Q35" s="2">
        <v>1E-3</v>
      </c>
      <c r="R35" s="2">
        <v>1E-3</v>
      </c>
      <c r="S35" s="2">
        <v>1E-3</v>
      </c>
      <c r="T35" s="2">
        <v>1E-3</v>
      </c>
    </row>
    <row r="36" spans="1:20" x14ac:dyDescent="0.25">
      <c r="A36" t="s">
        <v>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M36" s="2">
        <v>5.0000000000000001E-3</v>
      </c>
      <c r="N36" s="2">
        <v>5.0000000000000001E-3</v>
      </c>
      <c r="O36" s="2">
        <v>5.0000000000000001E-3</v>
      </c>
      <c r="P36" s="2">
        <v>5.0000000000000001E-3</v>
      </c>
      <c r="Q36" s="2">
        <v>5.0000000000000001E-3</v>
      </c>
      <c r="R36" s="2">
        <v>5.0000000000000001E-3</v>
      </c>
      <c r="S36" s="2">
        <v>5.0000000000000001E-3</v>
      </c>
      <c r="T36" s="2">
        <v>5.0000000000000001E-3</v>
      </c>
    </row>
    <row r="37" spans="1:20" x14ac:dyDescent="0.25">
      <c r="A37">
        <v>100</v>
      </c>
      <c r="B37" s="3">
        <f t="shared" ref="B37:I44" si="20">M17</f>
        <v>9.9999997000000003E-5</v>
      </c>
      <c r="C37" s="3">
        <f t="shared" si="20"/>
        <v>9.9999997000000003E-5</v>
      </c>
      <c r="D37" s="3">
        <f t="shared" si="20"/>
        <v>9.9999997000000003E-5</v>
      </c>
      <c r="E37" s="3">
        <f t="shared" si="20"/>
        <v>9.9999997000000003E-5</v>
      </c>
      <c r="F37" s="3">
        <f t="shared" si="20"/>
        <v>9.9999997000000003E-5</v>
      </c>
      <c r="G37" s="3">
        <f t="shared" si="20"/>
        <v>9.9999997000000003E-5</v>
      </c>
      <c r="H37" s="3">
        <f t="shared" si="20"/>
        <v>9.9999997000000003E-5</v>
      </c>
      <c r="I37" s="3">
        <f t="shared" si="20"/>
        <v>9.9999997000000003E-5</v>
      </c>
      <c r="M37" s="2">
        <v>0.01</v>
      </c>
      <c r="N37" s="2">
        <v>0.01</v>
      </c>
      <c r="O37" s="2">
        <v>0.01</v>
      </c>
      <c r="P37" s="2">
        <v>0.01</v>
      </c>
      <c r="Q37" s="2">
        <v>0.01</v>
      </c>
      <c r="R37" s="2">
        <v>0.01</v>
      </c>
      <c r="S37" s="2">
        <v>0.01</v>
      </c>
      <c r="T37" s="2">
        <v>0.01</v>
      </c>
    </row>
    <row r="38" spans="1:20" x14ac:dyDescent="0.25">
      <c r="A38">
        <v>500</v>
      </c>
      <c r="B38" s="3">
        <f t="shared" si="20"/>
        <v>5.0000002400000002E-4</v>
      </c>
      <c r="C38" s="3">
        <f t="shared" si="20"/>
        <v>5.0000002400000002E-4</v>
      </c>
      <c r="D38" s="3">
        <f t="shared" si="20"/>
        <v>5.0000002400000002E-4</v>
      </c>
      <c r="E38" s="3">
        <f t="shared" si="20"/>
        <v>5.0000002400000002E-4</v>
      </c>
      <c r="F38" s="3">
        <f t="shared" si="20"/>
        <v>5.0000002400000002E-4</v>
      </c>
      <c r="G38" s="3">
        <f t="shared" si="20"/>
        <v>5.0000002400000002E-4</v>
      </c>
      <c r="H38" s="3">
        <f t="shared" si="20"/>
        <v>5.0000002400000002E-4</v>
      </c>
      <c r="I38" s="3">
        <f t="shared" si="20"/>
        <v>5.0000002400000002E-4</v>
      </c>
      <c r="M38" s="2">
        <v>4.9655095000000003E-2</v>
      </c>
      <c r="N38" s="2">
        <v>4.9324519999999997E-2</v>
      </c>
      <c r="O38" s="2">
        <v>4.9180791000000001E-2</v>
      </c>
      <c r="P38" s="2">
        <v>4.9508496999999999E-2</v>
      </c>
      <c r="Q38" s="2">
        <v>4.9131345E-2</v>
      </c>
      <c r="R38" s="2">
        <v>4.9340144000000002E-2</v>
      </c>
      <c r="S38" s="2">
        <v>4.9281432999999999E-2</v>
      </c>
      <c r="T38" s="2">
        <v>4.9382750000000003E-2</v>
      </c>
    </row>
    <row r="39" spans="1:20" x14ac:dyDescent="0.25">
      <c r="A39">
        <v>1000</v>
      </c>
      <c r="B39" s="3">
        <f t="shared" si="20"/>
        <v>1E-3</v>
      </c>
      <c r="C39" s="3">
        <f t="shared" si="20"/>
        <v>1E-3</v>
      </c>
      <c r="D39" s="3">
        <f t="shared" si="20"/>
        <v>1E-3</v>
      </c>
      <c r="E39" s="3">
        <f t="shared" si="20"/>
        <v>1E-3</v>
      </c>
      <c r="F39" s="3">
        <f t="shared" si="20"/>
        <v>1E-3</v>
      </c>
      <c r="G39" s="3">
        <f t="shared" si="20"/>
        <v>1E-3</v>
      </c>
      <c r="H39" s="3">
        <f t="shared" si="20"/>
        <v>1E-3</v>
      </c>
      <c r="I39" s="3">
        <f t="shared" si="20"/>
        <v>1E-3</v>
      </c>
      <c r="M39" s="2">
        <v>9.9262929999999999E-2</v>
      </c>
      <c r="N39" s="2">
        <v>9.8648741999999998E-2</v>
      </c>
      <c r="O39" s="2">
        <v>9.8343431999999995E-2</v>
      </c>
      <c r="P39" s="2">
        <v>9.8990038000000002E-2</v>
      </c>
      <c r="Q39" s="2">
        <v>9.8295055000000006E-2</v>
      </c>
      <c r="R39" s="2">
        <v>9.8657139000000005E-2</v>
      </c>
      <c r="S39" s="2">
        <v>9.8554007999999999E-2</v>
      </c>
      <c r="T39" s="2">
        <v>9.8760411000000006E-2</v>
      </c>
    </row>
    <row r="40" spans="1:20" x14ac:dyDescent="0.25">
      <c r="A40">
        <v>5000</v>
      </c>
      <c r="B40" s="3">
        <f t="shared" si="20"/>
        <v>5.0000000000000001E-3</v>
      </c>
      <c r="C40" s="3">
        <f t="shared" si="20"/>
        <v>5.0000000000000001E-3</v>
      </c>
      <c r="D40" s="3">
        <f t="shared" si="20"/>
        <v>5.0000000000000001E-3</v>
      </c>
      <c r="E40" s="3">
        <f t="shared" si="20"/>
        <v>5.0000000000000001E-3</v>
      </c>
      <c r="F40" s="3">
        <f t="shared" si="20"/>
        <v>5.0000000000000001E-3</v>
      </c>
      <c r="G40" s="3">
        <f t="shared" si="20"/>
        <v>5.0000000000000001E-3</v>
      </c>
      <c r="H40" s="3">
        <f t="shared" si="20"/>
        <v>5.0000000000000001E-3</v>
      </c>
      <c r="I40" s="3">
        <f t="shared" si="20"/>
        <v>5.0000000000000001E-3</v>
      </c>
      <c r="M40" s="2">
        <v>0.13853786900000001</v>
      </c>
      <c r="N40" s="2">
        <v>0.13773238700000001</v>
      </c>
      <c r="O40" s="2">
        <v>0.13728112000000001</v>
      </c>
      <c r="P40" s="2">
        <v>0.138173938</v>
      </c>
      <c r="Q40" s="2">
        <v>0.13726683000000001</v>
      </c>
      <c r="R40" s="2">
        <v>0.137702301</v>
      </c>
      <c r="S40" s="2">
        <v>0.137587458</v>
      </c>
      <c r="T40" s="2">
        <v>0.13789103899999999</v>
      </c>
    </row>
    <row r="41" spans="1:20" x14ac:dyDescent="0.25">
      <c r="A41">
        <v>10000</v>
      </c>
      <c r="B41" s="3">
        <f t="shared" si="20"/>
        <v>0.01</v>
      </c>
      <c r="C41" s="3">
        <f t="shared" si="20"/>
        <v>0.01</v>
      </c>
      <c r="D41" s="3">
        <f t="shared" si="20"/>
        <v>0.01</v>
      </c>
      <c r="E41" s="3">
        <f t="shared" si="20"/>
        <v>0.01</v>
      </c>
      <c r="F41" s="3">
        <f t="shared" si="20"/>
        <v>0.01</v>
      </c>
      <c r="G41" s="3">
        <f t="shared" si="20"/>
        <v>0.01</v>
      </c>
      <c r="H41" s="3">
        <f t="shared" si="20"/>
        <v>0.01</v>
      </c>
      <c r="I41" s="3">
        <f t="shared" si="20"/>
        <v>0.01</v>
      </c>
      <c r="M41" s="2">
        <v>3.18033097E-4</v>
      </c>
      <c r="N41" s="2">
        <v>3.0771232600000002E-4</v>
      </c>
      <c r="O41" s="2">
        <v>3.4788099599999999E-4</v>
      </c>
      <c r="P41" s="2">
        <v>3.62225634E-4</v>
      </c>
      <c r="Q41" s="2">
        <v>3.3692212300000002E-4</v>
      </c>
      <c r="R41" s="2">
        <v>3.1576535500000001E-4</v>
      </c>
      <c r="S41" s="2">
        <v>3.4917215799999999E-4</v>
      </c>
      <c r="T41" s="2">
        <v>3.3369485799999998E-4</v>
      </c>
    </row>
    <row r="42" spans="1:20" x14ac:dyDescent="0.25">
      <c r="A42">
        <v>50000</v>
      </c>
      <c r="B42" s="3">
        <f t="shared" si="20"/>
        <v>4.9657185E-2</v>
      </c>
      <c r="C42" s="3">
        <f t="shared" si="20"/>
        <v>4.9322214000000003E-2</v>
      </c>
      <c r="D42" s="3">
        <f t="shared" si="20"/>
        <v>4.9180210000000002E-2</v>
      </c>
      <c r="E42" s="3">
        <f t="shared" si="20"/>
        <v>4.9510393E-2</v>
      </c>
      <c r="F42" s="3">
        <f t="shared" si="20"/>
        <v>4.9127109000000002E-2</v>
      </c>
      <c r="G42" s="3">
        <f t="shared" si="20"/>
        <v>4.9333009999999997E-2</v>
      </c>
      <c r="H42" s="3">
        <f t="shared" si="20"/>
        <v>4.9280927000000002E-2</v>
      </c>
      <c r="I42" s="3">
        <f t="shared" si="20"/>
        <v>4.9382417999999997E-2</v>
      </c>
      <c r="M42" s="2">
        <v>2.2108869999999999E-3</v>
      </c>
      <c r="N42" s="2">
        <v>2.1889119999999999E-3</v>
      </c>
      <c r="O42" s="2">
        <v>2.198729E-3</v>
      </c>
      <c r="P42" s="2">
        <v>2.19418E-3</v>
      </c>
      <c r="Q42" s="2">
        <v>2.1981679999999999E-3</v>
      </c>
      <c r="R42" s="2">
        <v>2.1744939999999999E-3</v>
      </c>
      <c r="S42" s="2">
        <v>2.1768400000000002E-3</v>
      </c>
      <c r="T42" s="2">
        <v>2.2001949999999998E-3</v>
      </c>
    </row>
    <row r="43" spans="1:20" x14ac:dyDescent="0.25">
      <c r="A43">
        <v>100000</v>
      </c>
      <c r="B43" s="3">
        <f t="shared" si="20"/>
        <v>9.9257380000000006E-2</v>
      </c>
      <c r="C43" s="3">
        <f t="shared" si="20"/>
        <v>9.8652601000000006E-2</v>
      </c>
      <c r="D43" s="3">
        <f t="shared" si="20"/>
        <v>9.8352060000000005E-2</v>
      </c>
      <c r="E43" s="3">
        <f t="shared" si="20"/>
        <v>9.8990790999999995E-2</v>
      </c>
      <c r="F43" s="3">
        <f t="shared" si="20"/>
        <v>9.8291390000000006E-2</v>
      </c>
      <c r="G43" s="3">
        <f t="shared" si="20"/>
        <v>9.8654150999999995E-2</v>
      </c>
      <c r="H43" s="3">
        <f t="shared" si="20"/>
        <v>9.8553099000000005E-2</v>
      </c>
      <c r="I43" s="3">
        <f t="shared" si="20"/>
        <v>9.8756610999999994E-2</v>
      </c>
      <c r="M43" s="2">
        <v>4.7174890000000001E-3</v>
      </c>
      <c r="N43" s="2">
        <v>4.7002049999999998E-3</v>
      </c>
      <c r="O43" s="2">
        <v>4.6898829999999997E-3</v>
      </c>
      <c r="P43" s="2">
        <v>4.6962530000000001E-3</v>
      </c>
      <c r="Q43" s="2">
        <v>4.6702990000000002E-3</v>
      </c>
      <c r="R43" s="2">
        <v>4.6772960000000001E-3</v>
      </c>
      <c r="S43" s="2">
        <v>4.6846580000000004E-3</v>
      </c>
      <c r="T43" s="2">
        <v>4.7044230000000001E-3</v>
      </c>
    </row>
    <row r="44" spans="1:20" x14ac:dyDescent="0.25">
      <c r="A44">
        <v>140000</v>
      </c>
      <c r="B44" s="3">
        <f t="shared" si="20"/>
        <v>0.13853174400000001</v>
      </c>
      <c r="C44" s="3">
        <f t="shared" si="20"/>
        <v>0.13772116600000001</v>
      </c>
      <c r="D44" s="3">
        <f t="shared" si="20"/>
        <v>0.13727302799999999</v>
      </c>
      <c r="E44" s="3">
        <f t="shared" si="20"/>
        <v>0.13815058799999999</v>
      </c>
      <c r="F44" s="3">
        <f t="shared" si="20"/>
        <v>0.137254819</v>
      </c>
      <c r="G44" s="3">
        <f t="shared" si="20"/>
        <v>0.13769927600000001</v>
      </c>
      <c r="H44" s="3">
        <f t="shared" si="20"/>
        <v>0.137584448</v>
      </c>
      <c r="I44" s="3">
        <f t="shared" si="20"/>
        <v>0.137880057</v>
      </c>
      <c r="M44" s="2">
        <v>2.4677900999999999E-2</v>
      </c>
      <c r="N44" s="2">
        <v>2.4517210000000001E-2</v>
      </c>
      <c r="O44" s="2">
        <v>2.4482248000000002E-2</v>
      </c>
      <c r="P44" s="2">
        <v>2.4537674999999998E-2</v>
      </c>
      <c r="Q44" s="2">
        <v>2.4481973000000001E-2</v>
      </c>
      <c r="R44" s="2">
        <v>2.4485486000000001E-2</v>
      </c>
      <c r="S44" s="2">
        <v>2.4475199999999999E-2</v>
      </c>
      <c r="T44" s="2">
        <v>2.4540763E-2</v>
      </c>
    </row>
    <row r="45" spans="1:20" x14ac:dyDescent="0.25">
      <c r="M45" s="2">
        <v>4.9500071E-2</v>
      </c>
      <c r="N45" s="2">
        <v>4.9320500000000003E-2</v>
      </c>
      <c r="O45" s="2">
        <v>4.9038279999999997E-2</v>
      </c>
      <c r="P45" s="2">
        <v>4.9267814E-2</v>
      </c>
      <c r="Q45" s="2">
        <v>4.9049902999999999E-2</v>
      </c>
      <c r="R45" s="2">
        <v>4.9062005999999998E-2</v>
      </c>
      <c r="S45" s="2">
        <v>4.9283039000000001E-2</v>
      </c>
      <c r="T45" s="2">
        <v>4.9481481000000001E-2</v>
      </c>
    </row>
    <row r="46" spans="1:20" x14ac:dyDescent="0.25">
      <c r="A46" s="4" t="s">
        <v>6</v>
      </c>
      <c r="B46" s="4"/>
      <c r="C46" s="4"/>
      <c r="D46" s="4"/>
      <c r="E46" s="4"/>
      <c r="F46" s="4"/>
      <c r="G46" s="4"/>
      <c r="H46" s="4"/>
      <c r="I46" s="4"/>
      <c r="M46" s="2">
        <v>0.247341648</v>
      </c>
      <c r="N46" s="2">
        <v>0.24609363100000001</v>
      </c>
      <c r="O46" s="2">
        <v>0.24456468200000001</v>
      </c>
      <c r="P46" s="2">
        <v>0.24636517499999999</v>
      </c>
      <c r="Q46" s="2">
        <v>0.244711488</v>
      </c>
      <c r="R46" s="2">
        <v>0.245086044</v>
      </c>
      <c r="S46" s="2">
        <v>0.245740816</v>
      </c>
      <c r="T46" s="2">
        <v>0.24581067300000001</v>
      </c>
    </row>
    <row r="47" spans="1:20" x14ac:dyDescent="0.25">
      <c r="A47" t="s">
        <v>1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M47" s="2">
        <v>0.49444666500000001</v>
      </c>
      <c r="N47" s="2">
        <v>0.49110448400000001</v>
      </c>
      <c r="O47" s="2">
        <v>0.48945605800000003</v>
      </c>
      <c r="P47" s="2">
        <v>0.49360141200000002</v>
      </c>
      <c r="Q47" s="2">
        <v>0.49054694199999999</v>
      </c>
      <c r="R47" s="2">
        <v>0.49154135599999998</v>
      </c>
      <c r="S47" s="2">
        <v>0.49097260799999998</v>
      </c>
      <c r="T47" s="2">
        <v>0.49298122500000002</v>
      </c>
    </row>
    <row r="48" spans="1:20" x14ac:dyDescent="0.25">
      <c r="A48">
        <v>100</v>
      </c>
      <c r="B48" s="3">
        <f>M25*1000000</f>
        <v>152.49993899999998</v>
      </c>
      <c r="C48" s="3">
        <f t="shared" ref="C48:I48" si="21">N25*1000000</f>
        <v>140.64095700000001</v>
      </c>
      <c r="D48" s="3">
        <f t="shared" si="21"/>
        <v>146.307153</v>
      </c>
      <c r="E48" s="3">
        <f t="shared" si="21"/>
        <v>143.88884300000001</v>
      </c>
      <c r="F48" s="3">
        <f t="shared" si="21"/>
        <v>152.08304100000001</v>
      </c>
      <c r="G48" s="3">
        <f t="shared" si="21"/>
        <v>156.41799800000001</v>
      </c>
      <c r="H48" s="3">
        <f t="shared" si="21"/>
        <v>138.09143299999999</v>
      </c>
      <c r="I48" s="3">
        <f t="shared" si="21"/>
        <v>145.00779800000001</v>
      </c>
      <c r="M48" s="2">
        <v>0.69277566700000004</v>
      </c>
      <c r="N48" s="2">
        <v>0.68740057899999996</v>
      </c>
      <c r="O48" s="2">
        <v>0.684795916</v>
      </c>
      <c r="P48" s="2">
        <v>0.68962162699999996</v>
      </c>
      <c r="Q48" s="2">
        <v>0.68304491000000001</v>
      </c>
      <c r="R48" s="2">
        <v>0.68650931100000001</v>
      </c>
      <c r="S48" s="2">
        <v>0.68573868299999996</v>
      </c>
      <c r="T48" s="2">
        <v>0.68707990600000002</v>
      </c>
    </row>
    <row r="49" spans="1:20" x14ac:dyDescent="0.25">
      <c r="A49">
        <v>500</v>
      </c>
      <c r="B49" s="3">
        <f t="shared" ref="B49:B55" si="22">M26*1000000</f>
        <v>481.40744899999999</v>
      </c>
      <c r="C49" s="3">
        <f t="shared" ref="C49:C55" si="23">N26*1000000</f>
        <v>486.739125</v>
      </c>
      <c r="D49" s="3">
        <f t="shared" ref="D49:D55" si="24">O26*1000000</f>
        <v>494.31267000000003</v>
      </c>
      <c r="E49" s="3">
        <f t="shared" ref="E49:E55" si="25">P26*1000000</f>
        <v>487.818848</v>
      </c>
      <c r="F49" s="3">
        <f t="shared" ref="F49:F55" si="26">Q26*1000000</f>
        <v>487.68019800000002</v>
      </c>
      <c r="G49" s="3">
        <f t="shared" ref="G49:G55" si="27">R26*1000000</f>
        <v>487.26514800000001</v>
      </c>
      <c r="H49" s="3">
        <f t="shared" ref="H49:H55" si="28">S26*1000000</f>
        <v>482.793723</v>
      </c>
      <c r="I49" s="3">
        <f t="shared" ref="I49:I55" si="29">T26*1000000</f>
        <v>480.04451699999998</v>
      </c>
      <c r="M49" s="6">
        <v>9.9999997000000003E-5</v>
      </c>
      <c r="N49" s="6">
        <v>9.9999997000000003E-5</v>
      </c>
      <c r="O49" s="6">
        <v>9.9999997000000003E-5</v>
      </c>
      <c r="P49" s="6">
        <v>9.9999997000000003E-5</v>
      </c>
      <c r="Q49" s="6">
        <v>9.9999997000000003E-5</v>
      </c>
      <c r="R49" s="6">
        <v>9.9999997000000003E-5</v>
      </c>
      <c r="S49" s="6">
        <v>9.9999997000000003E-5</v>
      </c>
      <c r="T49" s="6">
        <v>9.9999997000000003E-5</v>
      </c>
    </row>
    <row r="50" spans="1:20" x14ac:dyDescent="0.25">
      <c r="A50">
        <v>1000</v>
      </c>
      <c r="B50" s="3">
        <f t="shared" si="22"/>
        <v>988.31742099999985</v>
      </c>
      <c r="C50" s="3">
        <f t="shared" si="23"/>
        <v>971.54261299999996</v>
      </c>
      <c r="D50" s="3">
        <f t="shared" si="24"/>
        <v>984.78992000000005</v>
      </c>
      <c r="E50" s="3">
        <f t="shared" si="25"/>
        <v>978.97730300000012</v>
      </c>
      <c r="F50" s="3">
        <f t="shared" si="26"/>
        <v>986.5829490000001</v>
      </c>
      <c r="G50" s="3">
        <f t="shared" si="27"/>
        <v>991.40463900000009</v>
      </c>
      <c r="H50" s="3">
        <f t="shared" si="28"/>
        <v>964.84430800000007</v>
      </c>
      <c r="I50" s="3">
        <f t="shared" si="29"/>
        <v>965.28546399999993</v>
      </c>
      <c r="M50" s="6">
        <v>5.0000002400000002E-4</v>
      </c>
      <c r="N50" s="6">
        <v>5.0000002400000002E-4</v>
      </c>
      <c r="O50" s="6">
        <v>5.0000002400000002E-4</v>
      </c>
      <c r="P50" s="6">
        <v>5.0000002400000002E-4</v>
      </c>
      <c r="Q50" s="6">
        <v>5.0000002400000002E-4</v>
      </c>
      <c r="R50" s="6">
        <v>5.0000002400000002E-4</v>
      </c>
      <c r="S50" s="6">
        <v>5.0000002400000002E-4</v>
      </c>
      <c r="T50" s="6">
        <v>5.0000002400000002E-4</v>
      </c>
    </row>
    <row r="51" spans="1:20" x14ac:dyDescent="0.25">
      <c r="A51">
        <v>5000</v>
      </c>
      <c r="B51" s="3">
        <f t="shared" si="22"/>
        <v>4945.0439999999999</v>
      </c>
      <c r="C51" s="3">
        <f t="shared" si="23"/>
        <v>4932.0550000000003</v>
      </c>
      <c r="D51" s="3">
        <f t="shared" si="24"/>
        <v>4963.7290000000003</v>
      </c>
      <c r="E51" s="3">
        <f t="shared" si="25"/>
        <v>4949.6030000000001</v>
      </c>
      <c r="F51" s="3">
        <f t="shared" si="26"/>
        <v>4967.8450000000003</v>
      </c>
      <c r="G51" s="3">
        <f t="shared" si="27"/>
        <v>4942.5449999999992</v>
      </c>
      <c r="H51" s="3">
        <f t="shared" si="28"/>
        <v>4945.2650000000003</v>
      </c>
      <c r="I51" s="3">
        <f t="shared" si="29"/>
        <v>4929.58</v>
      </c>
      <c r="M51" s="6">
        <v>1E-3</v>
      </c>
      <c r="N51" s="6">
        <v>1E-3</v>
      </c>
      <c r="O51" s="6">
        <v>1E-3</v>
      </c>
      <c r="P51" s="6">
        <v>1E-3</v>
      </c>
      <c r="Q51" s="6">
        <v>1E-3</v>
      </c>
      <c r="R51" s="6">
        <v>1E-3</v>
      </c>
      <c r="S51" s="6">
        <v>1E-3</v>
      </c>
      <c r="T51" s="6">
        <v>1E-3</v>
      </c>
    </row>
    <row r="52" spans="1:20" x14ac:dyDescent="0.25">
      <c r="A52">
        <v>10000</v>
      </c>
      <c r="B52" s="3">
        <f t="shared" si="22"/>
        <v>9915.2420000000002</v>
      </c>
      <c r="C52" s="3">
        <f t="shared" si="23"/>
        <v>9901.4270000000015</v>
      </c>
      <c r="D52" s="3">
        <f t="shared" si="24"/>
        <v>9950.9590000000007</v>
      </c>
      <c r="E52" s="3">
        <f t="shared" si="25"/>
        <v>9922.5609999999997</v>
      </c>
      <c r="F52" s="3">
        <f t="shared" si="26"/>
        <v>9939.3869999999988</v>
      </c>
      <c r="G52" s="3">
        <f t="shared" si="27"/>
        <v>9920.5419999999995</v>
      </c>
      <c r="H52" s="3">
        <f t="shared" si="28"/>
        <v>9896.2039999999997</v>
      </c>
      <c r="I52" s="3">
        <f t="shared" si="29"/>
        <v>9887.9760000000006</v>
      </c>
      <c r="M52" s="6">
        <v>5.0000000000000001E-3</v>
      </c>
      <c r="N52" s="6">
        <v>5.0000000000000001E-3</v>
      </c>
      <c r="O52" s="6">
        <v>5.0000000000000001E-3</v>
      </c>
      <c r="P52" s="6">
        <v>5.0000000000000001E-3</v>
      </c>
      <c r="Q52" s="6">
        <v>5.0000000000000001E-3</v>
      </c>
      <c r="R52" s="6">
        <v>5.0000000000000001E-3</v>
      </c>
      <c r="S52" s="6">
        <v>5.0000000000000001E-3</v>
      </c>
      <c r="T52" s="6">
        <v>5.0000000000000001E-3</v>
      </c>
    </row>
    <row r="53" spans="1:20" x14ac:dyDescent="0.25">
      <c r="A53">
        <v>50000</v>
      </c>
      <c r="B53" s="3">
        <f t="shared" si="22"/>
        <v>49462.076000000001</v>
      </c>
      <c r="C53" s="3">
        <f t="shared" si="23"/>
        <v>49399.659</v>
      </c>
      <c r="D53" s="3">
        <f t="shared" si="24"/>
        <v>49613.386000000006</v>
      </c>
      <c r="E53" s="3">
        <f t="shared" si="25"/>
        <v>49500.73</v>
      </c>
      <c r="F53" s="3">
        <f t="shared" si="26"/>
        <v>49618.807000000001</v>
      </c>
      <c r="G53" s="3">
        <f t="shared" si="27"/>
        <v>49608.263999999996</v>
      </c>
      <c r="H53" s="3">
        <f t="shared" si="28"/>
        <v>49478.78</v>
      </c>
      <c r="I53" s="3">
        <f t="shared" si="29"/>
        <v>49246.727999999996</v>
      </c>
      <c r="M53" s="6">
        <v>0.01</v>
      </c>
      <c r="N53" s="6">
        <v>0.01</v>
      </c>
      <c r="O53" s="6">
        <v>0.01</v>
      </c>
      <c r="P53" s="6">
        <v>0.01</v>
      </c>
      <c r="Q53" s="6">
        <v>0.01</v>
      </c>
      <c r="R53" s="6">
        <v>0.01</v>
      </c>
      <c r="S53" s="6">
        <v>0.01</v>
      </c>
      <c r="T53" s="6">
        <v>0.01</v>
      </c>
    </row>
    <row r="54" spans="1:20" x14ac:dyDescent="0.25">
      <c r="A54">
        <v>100000</v>
      </c>
      <c r="B54" s="3">
        <f t="shared" si="22"/>
        <v>98821.133000000002</v>
      </c>
      <c r="C54" s="3">
        <f t="shared" si="23"/>
        <v>98632.857000000004</v>
      </c>
      <c r="D54" s="3">
        <f t="shared" si="24"/>
        <v>99286.69</v>
      </c>
      <c r="E54" s="3">
        <f t="shared" si="25"/>
        <v>98927.698999999993</v>
      </c>
      <c r="F54" s="3">
        <f t="shared" si="26"/>
        <v>98993.323999999993</v>
      </c>
      <c r="G54" s="3">
        <f t="shared" si="27"/>
        <v>99263.869000000006</v>
      </c>
      <c r="H54" s="3">
        <f t="shared" si="28"/>
        <v>98892.673999999999</v>
      </c>
      <c r="I54" s="3">
        <f t="shared" si="29"/>
        <v>98489.433999999994</v>
      </c>
      <c r="M54" s="6">
        <v>4.9656693000000002E-2</v>
      </c>
      <c r="N54" s="6">
        <v>4.9325801000000002E-2</v>
      </c>
      <c r="O54" s="6">
        <v>4.9181014000000002E-2</v>
      </c>
      <c r="P54" s="6">
        <v>4.9509554999999997E-2</v>
      </c>
      <c r="Q54" s="6">
        <v>4.9130168000000002E-2</v>
      </c>
      <c r="R54" s="6">
        <v>4.9337458000000001E-2</v>
      </c>
      <c r="S54" s="6">
        <v>4.9280349000000001E-2</v>
      </c>
      <c r="T54" s="6">
        <v>4.9385492000000003E-2</v>
      </c>
    </row>
    <row r="55" spans="1:20" x14ac:dyDescent="0.25">
      <c r="A55">
        <v>140000</v>
      </c>
      <c r="B55" s="3">
        <f t="shared" si="22"/>
        <v>115692.213</v>
      </c>
      <c r="C55" s="3">
        <f t="shared" si="23"/>
        <v>113650.829</v>
      </c>
      <c r="D55" s="3">
        <f t="shared" si="24"/>
        <v>115137.629</v>
      </c>
      <c r="E55" s="3">
        <f t="shared" si="25"/>
        <v>114977.136</v>
      </c>
      <c r="F55" s="3">
        <f t="shared" si="26"/>
        <v>112903.349</v>
      </c>
      <c r="G55" s="3">
        <f t="shared" si="27"/>
        <v>114548.489</v>
      </c>
      <c r="H55" s="3">
        <f t="shared" si="28"/>
        <v>113619.03700000001</v>
      </c>
      <c r="I55" s="3">
        <f t="shared" si="29"/>
        <v>114151.902</v>
      </c>
      <c r="M55" s="6">
        <v>9.9263579000000005E-2</v>
      </c>
      <c r="N55" s="6">
        <v>9.8652034999999999E-2</v>
      </c>
      <c r="O55" s="6">
        <v>9.8348170999999998E-2</v>
      </c>
      <c r="P55" s="6">
        <v>9.8987310999999994E-2</v>
      </c>
      <c r="Q55" s="6">
        <v>9.8288678000000004E-2</v>
      </c>
      <c r="R55" s="6">
        <v>9.8649368000000001E-2</v>
      </c>
      <c r="S55" s="6">
        <v>9.8553136E-2</v>
      </c>
      <c r="T55" s="6">
        <v>9.8759234000000001E-2</v>
      </c>
    </row>
    <row r="56" spans="1:20" x14ac:dyDescent="0.25">
      <c r="M56" s="6">
        <v>0.13853774999999999</v>
      </c>
      <c r="N56" s="6">
        <v>0.13773527699999999</v>
      </c>
      <c r="O56" s="6">
        <v>0.13729639399999999</v>
      </c>
      <c r="P56" s="6">
        <v>0.13817583</v>
      </c>
      <c r="Q56" s="6">
        <v>0.137259826</v>
      </c>
      <c r="R56" s="6">
        <v>0.13769798</v>
      </c>
      <c r="S56" s="6">
        <v>0.137595087</v>
      </c>
      <c r="T56" s="6">
        <v>0.137883216</v>
      </c>
    </row>
    <row r="57" spans="1:20" x14ac:dyDescent="0.25">
      <c r="A57" s="5" t="s">
        <v>7</v>
      </c>
      <c r="B57" s="5"/>
      <c r="C57" s="5"/>
      <c r="D57" s="5"/>
      <c r="E57" s="5"/>
      <c r="F57" s="5"/>
      <c r="G57" s="5"/>
      <c r="H57" s="5"/>
      <c r="I57" s="5"/>
      <c r="M57" s="6">
        <v>5.0662923600000001E-4</v>
      </c>
      <c r="N57" s="6">
        <v>4.8821009100000001E-4</v>
      </c>
      <c r="O57" s="6">
        <v>4.9999536699999998E-4</v>
      </c>
      <c r="P57" s="6">
        <v>4.7212955500000001E-4</v>
      </c>
      <c r="Q57" s="6">
        <v>5.06367942E-4</v>
      </c>
      <c r="R57" s="6">
        <v>4.8024085100000001E-4</v>
      </c>
      <c r="S57" s="6">
        <v>4.8624887099999999E-4</v>
      </c>
      <c r="T57" s="6">
        <v>4.8955710399999997E-4</v>
      </c>
    </row>
    <row r="58" spans="1:20" x14ac:dyDescent="0.25">
      <c r="A58" t="s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  <c r="M58" s="6">
        <v>2.4437180000000001E-3</v>
      </c>
      <c r="N58" s="6">
        <v>2.443794E-3</v>
      </c>
      <c r="O58" s="6">
        <v>2.4389659999999999E-3</v>
      </c>
      <c r="P58" s="6">
        <v>2.4397260000000001E-3</v>
      </c>
      <c r="Q58" s="6">
        <v>2.4603030000000001E-3</v>
      </c>
      <c r="R58" s="6">
        <v>2.4312040000000002E-3</v>
      </c>
      <c r="S58" s="6">
        <v>2.4329690000000001E-3</v>
      </c>
      <c r="T58" s="6">
        <v>2.4284749999999998E-3</v>
      </c>
    </row>
    <row r="59" spans="1:20" x14ac:dyDescent="0.25">
      <c r="A59">
        <v>100</v>
      </c>
      <c r="B59" s="1">
        <f>B48-B37</f>
        <v>152.49983900000299</v>
      </c>
      <c r="C59" s="1">
        <f t="shared" ref="C59:I59" si="30">C48-C37</f>
        <v>140.64085700000302</v>
      </c>
      <c r="D59" s="1">
        <f t="shared" si="30"/>
        <v>146.30705300000301</v>
      </c>
      <c r="E59" s="1">
        <f t="shared" si="30"/>
        <v>143.88874300000302</v>
      </c>
      <c r="F59" s="1">
        <f t="shared" si="30"/>
        <v>152.08294100000302</v>
      </c>
      <c r="G59" s="1">
        <f t="shared" si="30"/>
        <v>156.41789800000302</v>
      </c>
      <c r="H59" s="1">
        <f t="shared" si="30"/>
        <v>138.091333000003</v>
      </c>
      <c r="I59" s="1">
        <f t="shared" si="30"/>
        <v>145.00769800000302</v>
      </c>
      <c r="M59" s="6">
        <v>4.9529140000000001E-3</v>
      </c>
      <c r="N59" s="6">
        <v>4.9534779999999999E-3</v>
      </c>
      <c r="O59" s="6">
        <v>4.9638089999999996E-3</v>
      </c>
      <c r="P59" s="6">
        <v>4.9541259999999997E-3</v>
      </c>
      <c r="Q59" s="6">
        <v>4.9496239999999997E-3</v>
      </c>
      <c r="R59" s="6">
        <v>4.948427E-3</v>
      </c>
      <c r="S59" s="6">
        <v>4.9437420000000001E-3</v>
      </c>
      <c r="T59" s="6">
        <v>4.9549950000000002E-3</v>
      </c>
    </row>
    <row r="60" spans="1:20" x14ac:dyDescent="0.25">
      <c r="A60">
        <v>500</v>
      </c>
      <c r="B60" s="1">
        <f t="shared" ref="B60:I60" si="31">B49-B38</f>
        <v>481.40694899997601</v>
      </c>
      <c r="C60" s="1">
        <f t="shared" si="31"/>
        <v>486.73862499997603</v>
      </c>
      <c r="D60" s="1">
        <f t="shared" si="31"/>
        <v>494.31216999997605</v>
      </c>
      <c r="E60" s="1">
        <f t="shared" si="31"/>
        <v>487.81834799997603</v>
      </c>
      <c r="F60" s="1">
        <f t="shared" si="31"/>
        <v>487.67969799997604</v>
      </c>
      <c r="G60" s="1">
        <f t="shared" si="31"/>
        <v>487.26464799997603</v>
      </c>
      <c r="H60" s="1">
        <f t="shared" si="31"/>
        <v>482.79322299997602</v>
      </c>
      <c r="I60" s="1">
        <f t="shared" si="31"/>
        <v>480.04401699997601</v>
      </c>
      <c r="M60" s="6">
        <v>2.4944087E-2</v>
      </c>
      <c r="N60" s="6">
        <v>2.4989687E-2</v>
      </c>
      <c r="O60" s="6">
        <v>2.5008088000000001E-2</v>
      </c>
      <c r="P60" s="6">
        <v>2.4973816999999999E-2</v>
      </c>
      <c r="Q60" s="6">
        <v>2.5003435000000001E-2</v>
      </c>
      <c r="R60" s="6">
        <v>2.4997152000000002E-2</v>
      </c>
      <c r="S60" s="6">
        <v>2.4920688999999999E-2</v>
      </c>
      <c r="T60" s="6">
        <v>2.5012013E-2</v>
      </c>
    </row>
    <row r="61" spans="1:20" x14ac:dyDescent="0.25">
      <c r="A61">
        <v>1000</v>
      </c>
      <c r="B61" s="1">
        <f t="shared" ref="B61:I61" si="32">B50-B39</f>
        <v>988.31642099999988</v>
      </c>
      <c r="C61" s="1">
        <f t="shared" si="32"/>
        <v>971.54161299999998</v>
      </c>
      <c r="D61" s="1">
        <f t="shared" si="32"/>
        <v>984.78892000000008</v>
      </c>
      <c r="E61" s="1">
        <f t="shared" si="32"/>
        <v>978.97630300000014</v>
      </c>
      <c r="F61" s="1">
        <f t="shared" si="32"/>
        <v>986.58194900000012</v>
      </c>
      <c r="G61" s="1">
        <f t="shared" si="32"/>
        <v>991.40363900000011</v>
      </c>
      <c r="H61" s="1">
        <f t="shared" si="32"/>
        <v>964.84330800000009</v>
      </c>
      <c r="I61" s="1">
        <f t="shared" si="32"/>
        <v>965.28446399999996</v>
      </c>
      <c r="M61" s="6">
        <v>4.9945913000000002E-2</v>
      </c>
      <c r="N61" s="6">
        <v>4.9900847999999998E-2</v>
      </c>
      <c r="O61" s="6">
        <v>4.9965746999999998E-2</v>
      </c>
      <c r="P61" s="6">
        <v>4.9951787999999997E-2</v>
      </c>
      <c r="Q61" s="6">
        <v>5.0054286000000003E-2</v>
      </c>
      <c r="R61" s="6">
        <v>4.9915511000000003E-2</v>
      </c>
      <c r="S61" s="6">
        <v>4.9948989999999999E-2</v>
      </c>
      <c r="T61" s="6">
        <v>4.9986283999999999E-2</v>
      </c>
    </row>
    <row r="62" spans="1:20" x14ac:dyDescent="0.25">
      <c r="A62">
        <v>5000</v>
      </c>
      <c r="B62" s="1">
        <f t="shared" ref="B62:I62" si="33">B51-B40</f>
        <v>4945.0389999999998</v>
      </c>
      <c r="C62" s="1">
        <f t="shared" si="33"/>
        <v>4932.05</v>
      </c>
      <c r="D62" s="1">
        <f t="shared" si="33"/>
        <v>4963.7240000000002</v>
      </c>
      <c r="E62" s="1">
        <f t="shared" si="33"/>
        <v>4949.598</v>
      </c>
      <c r="F62" s="1">
        <f t="shared" si="33"/>
        <v>4967.84</v>
      </c>
      <c r="G62" s="1">
        <f t="shared" si="33"/>
        <v>4942.5399999999991</v>
      </c>
      <c r="H62" s="1">
        <f t="shared" si="33"/>
        <v>4945.26</v>
      </c>
      <c r="I62" s="1">
        <f t="shared" si="33"/>
        <v>4929.5749999999998</v>
      </c>
      <c r="M62" s="6">
        <v>0.114046179</v>
      </c>
      <c r="N62" s="6">
        <v>0.111845873</v>
      </c>
      <c r="O62" s="6">
        <v>0.11342188</v>
      </c>
      <c r="P62" s="6">
        <v>0.113214277</v>
      </c>
      <c r="Q62" s="6">
        <v>0.11125861099999999</v>
      </c>
      <c r="R62" s="6">
        <v>0.112947218</v>
      </c>
      <c r="S62" s="6">
        <v>0.111781903</v>
      </c>
      <c r="T62" s="6">
        <v>0.11218500100000001</v>
      </c>
    </row>
    <row r="63" spans="1:20" x14ac:dyDescent="0.25">
      <c r="A63">
        <v>10000</v>
      </c>
      <c r="B63" s="1">
        <f t="shared" ref="B63:I63" si="34">B52-B41</f>
        <v>9915.232</v>
      </c>
      <c r="C63" s="1">
        <f t="shared" si="34"/>
        <v>9901.4170000000013</v>
      </c>
      <c r="D63" s="1">
        <f t="shared" si="34"/>
        <v>9950.9490000000005</v>
      </c>
      <c r="E63" s="1">
        <f t="shared" si="34"/>
        <v>9922.5509999999995</v>
      </c>
      <c r="F63" s="1">
        <f t="shared" si="34"/>
        <v>9939.3769999999986</v>
      </c>
      <c r="G63" s="1">
        <f t="shared" si="34"/>
        <v>9920.5319999999992</v>
      </c>
      <c r="H63" s="1">
        <f t="shared" si="34"/>
        <v>9896.1939999999995</v>
      </c>
      <c r="I63" s="1">
        <f t="shared" si="34"/>
        <v>9887.9660000000003</v>
      </c>
      <c r="M63" s="6">
        <v>0.11484119299999999</v>
      </c>
      <c r="N63" s="6">
        <v>0.113151528</v>
      </c>
      <c r="O63" s="6">
        <v>0.114190787</v>
      </c>
      <c r="P63" s="6">
        <v>0.114100091</v>
      </c>
      <c r="Q63" s="6">
        <v>0.111878715</v>
      </c>
      <c r="R63" s="6">
        <v>0.113634348</v>
      </c>
      <c r="S63" s="6">
        <v>0.112822562</v>
      </c>
      <c r="T63" s="6">
        <v>0.113111712</v>
      </c>
    </row>
    <row r="64" spans="1:20" x14ac:dyDescent="0.25">
      <c r="A64">
        <v>50000</v>
      </c>
      <c r="B64" s="1">
        <f t="shared" ref="B64:I64" si="35">B53-B42</f>
        <v>49462.026342814999</v>
      </c>
      <c r="C64" s="1">
        <f t="shared" si="35"/>
        <v>49399.609677786</v>
      </c>
      <c r="D64" s="1">
        <f t="shared" si="35"/>
        <v>49613.336819790005</v>
      </c>
      <c r="E64" s="1">
        <f t="shared" si="35"/>
        <v>49500.680489607003</v>
      </c>
      <c r="F64" s="1">
        <f t="shared" si="35"/>
        <v>49618.757872891001</v>
      </c>
      <c r="G64" s="1">
        <f t="shared" si="35"/>
        <v>49608.214666989996</v>
      </c>
      <c r="H64" s="1">
        <f t="shared" si="35"/>
        <v>49478.730719072999</v>
      </c>
      <c r="I64" s="1">
        <f t="shared" si="35"/>
        <v>49246.678617581994</v>
      </c>
      <c r="M64" s="6">
        <v>0.114772834</v>
      </c>
      <c r="N64" s="6">
        <v>0.113101959</v>
      </c>
      <c r="O64" s="6">
        <v>0.11430282899999999</v>
      </c>
      <c r="P64" s="6">
        <v>0.11426178400000001</v>
      </c>
      <c r="Q64" s="6">
        <v>0.112209797</v>
      </c>
      <c r="R64" s="6">
        <v>0.113961756</v>
      </c>
      <c r="S64" s="6">
        <v>0.113034829</v>
      </c>
      <c r="T64" s="6">
        <v>0.113282204</v>
      </c>
    </row>
    <row r="65" spans="1:9" x14ac:dyDescent="0.25">
      <c r="A65">
        <v>100000</v>
      </c>
      <c r="B65" s="1">
        <f t="shared" ref="B65:I65" si="36">B54-B43</f>
        <v>98821.033742619999</v>
      </c>
      <c r="C65" s="1">
        <f t="shared" si="36"/>
        <v>98632.758347399009</v>
      </c>
      <c r="D65" s="1">
        <f t="shared" si="36"/>
        <v>99286.591647940004</v>
      </c>
      <c r="E65" s="1">
        <f t="shared" si="36"/>
        <v>98927.600009208996</v>
      </c>
      <c r="F65" s="1">
        <f t="shared" si="36"/>
        <v>98993.22570861</v>
      </c>
      <c r="G65" s="1">
        <f t="shared" si="36"/>
        <v>99263.770345849</v>
      </c>
      <c r="H65" s="1">
        <f t="shared" si="36"/>
        <v>98892.575446900999</v>
      </c>
      <c r="I65" s="1">
        <f t="shared" si="36"/>
        <v>98489.335243388996</v>
      </c>
    </row>
    <row r="66" spans="1:9" x14ac:dyDescent="0.25">
      <c r="A66">
        <v>140000</v>
      </c>
      <c r="B66" s="1">
        <f t="shared" ref="B66:I66" si="37">B55-B44</f>
        <v>115692.074468256</v>
      </c>
      <c r="C66" s="1">
        <f t="shared" si="37"/>
        <v>113650.691278834</v>
      </c>
      <c r="D66" s="1">
        <f t="shared" si="37"/>
        <v>115137.491726972</v>
      </c>
      <c r="E66" s="1">
        <f t="shared" si="37"/>
        <v>114976.997849412</v>
      </c>
      <c r="F66" s="1">
        <f t="shared" si="37"/>
        <v>112903.211745181</v>
      </c>
      <c r="G66" s="1">
        <f t="shared" si="37"/>
        <v>114548.351300724</v>
      </c>
      <c r="H66" s="1">
        <f t="shared" si="37"/>
        <v>113618.899415552</v>
      </c>
      <c r="I66" s="1">
        <f t="shared" si="37"/>
        <v>114151.76411994301</v>
      </c>
    </row>
    <row r="68" spans="1:9" x14ac:dyDescent="0.25">
      <c r="A68" s="4" t="s">
        <v>8</v>
      </c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t="s">
        <v>1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</row>
    <row r="70" spans="1:9" x14ac:dyDescent="0.25">
      <c r="A70">
        <v>100</v>
      </c>
      <c r="B70" s="3">
        <f>M33</f>
        <v>9.9999997000000003E-5</v>
      </c>
      <c r="C70" s="3">
        <f t="shared" ref="C70:I70" si="38">N33</f>
        <v>9.9999997000000003E-5</v>
      </c>
      <c r="D70" s="3">
        <f t="shared" si="38"/>
        <v>9.9999997000000003E-5</v>
      </c>
      <c r="E70" s="3">
        <f t="shared" si="38"/>
        <v>9.9999997000000003E-5</v>
      </c>
      <c r="F70" s="3">
        <f t="shared" si="38"/>
        <v>9.9999997000000003E-5</v>
      </c>
      <c r="G70" s="3">
        <f t="shared" si="38"/>
        <v>9.9999997000000003E-5</v>
      </c>
      <c r="H70" s="3">
        <f t="shared" si="38"/>
        <v>9.9999997000000003E-5</v>
      </c>
      <c r="I70" s="3">
        <f t="shared" si="38"/>
        <v>9.9999997000000003E-5</v>
      </c>
    </row>
    <row r="71" spans="1:9" x14ac:dyDescent="0.25">
      <c r="A71">
        <v>500</v>
      </c>
      <c r="B71" s="3">
        <f t="shared" ref="B71:B77" si="39">M34</f>
        <v>5.0000002400000002E-4</v>
      </c>
      <c r="C71" s="3">
        <f t="shared" ref="C71:C77" si="40">N34</f>
        <v>5.0000002400000002E-4</v>
      </c>
      <c r="D71" s="3">
        <f t="shared" ref="D71:D77" si="41">O34</f>
        <v>5.0000002400000002E-4</v>
      </c>
      <c r="E71" s="3">
        <f t="shared" ref="E71:E77" si="42">P34</f>
        <v>5.0000002400000002E-4</v>
      </c>
      <c r="F71" s="3">
        <f t="shared" ref="F71:F77" si="43">Q34</f>
        <v>5.0000002400000002E-4</v>
      </c>
      <c r="G71" s="3">
        <f t="shared" ref="G71:G77" si="44">R34</f>
        <v>5.0000002400000002E-4</v>
      </c>
      <c r="H71" s="3">
        <f t="shared" ref="H71:H77" si="45">S34</f>
        <v>5.0000002400000002E-4</v>
      </c>
      <c r="I71" s="3">
        <f t="shared" ref="I71:I77" si="46">T34</f>
        <v>5.0000002400000002E-4</v>
      </c>
    </row>
    <row r="72" spans="1:9" x14ac:dyDescent="0.25">
      <c r="A72">
        <v>1000</v>
      </c>
      <c r="B72" s="3">
        <f t="shared" si="39"/>
        <v>1E-3</v>
      </c>
      <c r="C72" s="3">
        <f t="shared" si="40"/>
        <v>1E-3</v>
      </c>
      <c r="D72" s="3">
        <f t="shared" si="41"/>
        <v>1E-3</v>
      </c>
      <c r="E72" s="3">
        <f t="shared" si="42"/>
        <v>1E-3</v>
      </c>
      <c r="F72" s="3">
        <f t="shared" si="43"/>
        <v>1E-3</v>
      </c>
      <c r="G72" s="3">
        <f t="shared" si="44"/>
        <v>1E-3</v>
      </c>
      <c r="H72" s="3">
        <f t="shared" si="45"/>
        <v>1E-3</v>
      </c>
      <c r="I72" s="3">
        <f t="shared" si="46"/>
        <v>1E-3</v>
      </c>
    </row>
    <row r="73" spans="1:9" x14ac:dyDescent="0.25">
      <c r="A73">
        <v>5000</v>
      </c>
      <c r="B73" s="3">
        <f t="shared" si="39"/>
        <v>5.0000000000000001E-3</v>
      </c>
      <c r="C73" s="3">
        <f t="shared" si="40"/>
        <v>5.0000000000000001E-3</v>
      </c>
      <c r="D73" s="3">
        <f t="shared" si="41"/>
        <v>5.0000000000000001E-3</v>
      </c>
      <c r="E73" s="3">
        <f t="shared" si="42"/>
        <v>5.0000000000000001E-3</v>
      </c>
      <c r="F73" s="3">
        <f t="shared" si="43"/>
        <v>5.0000000000000001E-3</v>
      </c>
      <c r="G73" s="3">
        <f t="shared" si="44"/>
        <v>5.0000000000000001E-3</v>
      </c>
      <c r="H73" s="3">
        <f t="shared" si="45"/>
        <v>5.0000000000000001E-3</v>
      </c>
      <c r="I73" s="3">
        <f t="shared" si="46"/>
        <v>5.0000000000000001E-3</v>
      </c>
    </row>
    <row r="74" spans="1:9" x14ac:dyDescent="0.25">
      <c r="A74">
        <v>10000</v>
      </c>
      <c r="B74" s="3">
        <f t="shared" si="39"/>
        <v>0.01</v>
      </c>
      <c r="C74" s="3">
        <f t="shared" si="40"/>
        <v>0.01</v>
      </c>
      <c r="D74" s="3">
        <f t="shared" si="41"/>
        <v>0.01</v>
      </c>
      <c r="E74" s="3">
        <f t="shared" si="42"/>
        <v>0.01</v>
      </c>
      <c r="F74" s="3">
        <f t="shared" si="43"/>
        <v>0.01</v>
      </c>
      <c r="G74" s="3">
        <f t="shared" si="44"/>
        <v>0.01</v>
      </c>
      <c r="H74" s="3">
        <f t="shared" si="45"/>
        <v>0.01</v>
      </c>
      <c r="I74" s="3">
        <f t="shared" si="46"/>
        <v>0.01</v>
      </c>
    </row>
    <row r="75" spans="1:9" x14ac:dyDescent="0.25">
      <c r="A75">
        <v>50000</v>
      </c>
      <c r="B75" s="3">
        <f t="shared" si="39"/>
        <v>4.9655095000000003E-2</v>
      </c>
      <c r="C75" s="3">
        <f t="shared" si="40"/>
        <v>4.9324519999999997E-2</v>
      </c>
      <c r="D75" s="3">
        <f t="shared" si="41"/>
        <v>4.9180791000000001E-2</v>
      </c>
      <c r="E75" s="3">
        <f t="shared" si="42"/>
        <v>4.9508496999999999E-2</v>
      </c>
      <c r="F75" s="3">
        <f t="shared" si="43"/>
        <v>4.9131345E-2</v>
      </c>
      <c r="G75" s="3">
        <f t="shared" si="44"/>
        <v>4.9340144000000002E-2</v>
      </c>
      <c r="H75" s="3">
        <f t="shared" si="45"/>
        <v>4.9281432999999999E-2</v>
      </c>
      <c r="I75" s="3">
        <f t="shared" si="46"/>
        <v>4.9382750000000003E-2</v>
      </c>
    </row>
    <row r="76" spans="1:9" x14ac:dyDescent="0.25">
      <c r="A76">
        <v>100000</v>
      </c>
      <c r="B76" s="3">
        <f t="shared" si="39"/>
        <v>9.9262929999999999E-2</v>
      </c>
      <c r="C76" s="3">
        <f t="shared" si="40"/>
        <v>9.8648741999999998E-2</v>
      </c>
      <c r="D76" s="3">
        <f t="shared" si="41"/>
        <v>9.8343431999999995E-2</v>
      </c>
      <c r="E76" s="3">
        <f t="shared" si="42"/>
        <v>9.8990038000000002E-2</v>
      </c>
      <c r="F76" s="3">
        <f t="shared" si="43"/>
        <v>9.8295055000000006E-2</v>
      </c>
      <c r="G76" s="3">
        <f t="shared" si="44"/>
        <v>9.8657139000000005E-2</v>
      </c>
      <c r="H76" s="3">
        <f t="shared" si="45"/>
        <v>9.8554007999999999E-2</v>
      </c>
      <c r="I76" s="3">
        <f t="shared" si="46"/>
        <v>9.8760411000000006E-2</v>
      </c>
    </row>
    <row r="77" spans="1:9" x14ac:dyDescent="0.25">
      <c r="A77">
        <v>140000</v>
      </c>
      <c r="B77" s="3">
        <f t="shared" si="39"/>
        <v>0.13853786900000001</v>
      </c>
      <c r="C77" s="3">
        <f t="shared" si="40"/>
        <v>0.13773238700000001</v>
      </c>
      <c r="D77" s="3">
        <f t="shared" si="41"/>
        <v>0.13728112000000001</v>
      </c>
      <c r="E77" s="3">
        <f t="shared" si="42"/>
        <v>0.138173938</v>
      </c>
      <c r="F77" s="3">
        <f t="shared" si="43"/>
        <v>0.13726683000000001</v>
      </c>
      <c r="G77" s="3">
        <f t="shared" si="44"/>
        <v>0.137702301</v>
      </c>
      <c r="H77" s="3">
        <f t="shared" si="45"/>
        <v>0.137587458</v>
      </c>
      <c r="I77" s="3">
        <f t="shared" si="46"/>
        <v>0.13789103899999999</v>
      </c>
    </row>
    <row r="79" spans="1:9" x14ac:dyDescent="0.25">
      <c r="A79" s="4" t="s">
        <v>9</v>
      </c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t="s">
        <v>1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</row>
    <row r="81" spans="1:9" x14ac:dyDescent="0.25">
      <c r="A81">
        <v>100</v>
      </c>
      <c r="B81" s="3">
        <f>(M41/5)*1000000</f>
        <v>63.6066194</v>
      </c>
      <c r="C81" s="3">
        <f t="shared" ref="C81:I81" si="47">(N41/5)*1000000</f>
        <v>61.542465200000009</v>
      </c>
      <c r="D81" s="3">
        <f t="shared" si="47"/>
        <v>69.576199200000005</v>
      </c>
      <c r="E81" s="3">
        <f t="shared" si="47"/>
        <v>72.445126799999997</v>
      </c>
      <c r="F81" s="3">
        <f t="shared" si="47"/>
        <v>67.384424600000003</v>
      </c>
      <c r="G81" s="3">
        <f t="shared" si="47"/>
        <v>63.153070999999997</v>
      </c>
      <c r="H81" s="3">
        <f t="shared" si="47"/>
        <v>69.834431600000002</v>
      </c>
      <c r="I81" s="3">
        <f t="shared" si="47"/>
        <v>66.738971599999999</v>
      </c>
    </row>
    <row r="82" spans="1:9" x14ac:dyDescent="0.25">
      <c r="A82">
        <v>500</v>
      </c>
      <c r="B82" s="3">
        <f t="shared" ref="B82:B88" si="48">(M42/5)*1000000</f>
        <v>442.17740000000003</v>
      </c>
      <c r="C82" s="3">
        <f t="shared" ref="C82:C88" si="49">(N42/5)*1000000</f>
        <v>437.7824</v>
      </c>
      <c r="D82" s="3">
        <f t="shared" ref="D82:D88" si="50">(O42/5)*1000000</f>
        <v>439.74580000000003</v>
      </c>
      <c r="E82" s="3">
        <f t="shared" ref="E82:E88" si="51">(P42/5)*1000000</f>
        <v>438.83600000000001</v>
      </c>
      <c r="F82" s="3">
        <f t="shared" ref="F82:F88" si="52">(Q42/5)*1000000</f>
        <v>439.63359999999994</v>
      </c>
      <c r="G82" s="3">
        <f t="shared" ref="G82:G88" si="53">(R42/5)*1000000</f>
        <v>434.89879999999999</v>
      </c>
      <c r="H82" s="3">
        <f t="shared" ref="H82:H88" si="54">(S42/5)*1000000</f>
        <v>435.36800000000005</v>
      </c>
      <c r="I82" s="3">
        <f t="shared" ref="I82:I88" si="55">(T42/5)*1000000</f>
        <v>440.03899999999999</v>
      </c>
    </row>
    <row r="83" spans="1:9" x14ac:dyDescent="0.25">
      <c r="A83">
        <v>1000</v>
      </c>
      <c r="B83" s="3">
        <f t="shared" si="48"/>
        <v>943.49779999999998</v>
      </c>
      <c r="C83" s="3">
        <f t="shared" si="49"/>
        <v>940.04099999999994</v>
      </c>
      <c r="D83" s="3">
        <f t="shared" si="50"/>
        <v>937.97659999999996</v>
      </c>
      <c r="E83" s="3">
        <f t="shared" si="51"/>
        <v>939.25059999999996</v>
      </c>
      <c r="F83" s="3">
        <f t="shared" si="52"/>
        <v>934.0598</v>
      </c>
      <c r="G83" s="3">
        <f t="shared" si="53"/>
        <v>935.45920000000001</v>
      </c>
      <c r="H83" s="3">
        <f t="shared" si="54"/>
        <v>936.93160000000012</v>
      </c>
      <c r="I83" s="3">
        <f t="shared" si="55"/>
        <v>940.88459999999998</v>
      </c>
    </row>
    <row r="84" spans="1:9" x14ac:dyDescent="0.25">
      <c r="A84">
        <v>5000</v>
      </c>
      <c r="B84" s="3">
        <f t="shared" si="48"/>
        <v>4935.5801999999994</v>
      </c>
      <c r="C84" s="3">
        <f t="shared" si="49"/>
        <v>4903.442</v>
      </c>
      <c r="D84" s="3">
        <f t="shared" si="50"/>
        <v>4896.4495999999999</v>
      </c>
      <c r="E84" s="3">
        <f t="shared" si="51"/>
        <v>4907.5349999999989</v>
      </c>
      <c r="F84" s="3">
        <f t="shared" si="52"/>
        <v>4896.3946000000005</v>
      </c>
      <c r="G84" s="3">
        <f t="shared" si="53"/>
        <v>4897.0972000000002</v>
      </c>
      <c r="H84" s="3">
        <f t="shared" si="54"/>
        <v>4895.04</v>
      </c>
      <c r="I84" s="3">
        <f t="shared" si="55"/>
        <v>4908.1526000000003</v>
      </c>
    </row>
    <row r="85" spans="1:9" x14ac:dyDescent="0.25">
      <c r="A85">
        <v>10000</v>
      </c>
      <c r="B85" s="3">
        <f t="shared" si="48"/>
        <v>9900.0141999999996</v>
      </c>
      <c r="C85" s="3">
        <f t="shared" si="49"/>
        <v>9864.1</v>
      </c>
      <c r="D85" s="3">
        <f t="shared" si="50"/>
        <v>9807.655999999999</v>
      </c>
      <c r="E85" s="3">
        <f t="shared" si="51"/>
        <v>9853.5627999999997</v>
      </c>
      <c r="F85" s="3">
        <f t="shared" si="52"/>
        <v>9809.9806000000008</v>
      </c>
      <c r="G85" s="3">
        <f t="shared" si="53"/>
        <v>9812.4011999999984</v>
      </c>
      <c r="H85" s="3">
        <f t="shared" si="54"/>
        <v>9856.6077999999998</v>
      </c>
      <c r="I85" s="3">
        <f t="shared" si="55"/>
        <v>9896.2962000000007</v>
      </c>
    </row>
    <row r="86" spans="1:9" x14ac:dyDescent="0.25">
      <c r="A86">
        <v>50000</v>
      </c>
      <c r="B86" s="3">
        <f t="shared" si="48"/>
        <v>49468.329599999997</v>
      </c>
      <c r="C86" s="3">
        <f t="shared" si="49"/>
        <v>49218.726199999997</v>
      </c>
      <c r="D86" s="3">
        <f t="shared" si="50"/>
        <v>48912.936400000006</v>
      </c>
      <c r="E86" s="3">
        <f t="shared" si="51"/>
        <v>49273.034999999996</v>
      </c>
      <c r="F86" s="3">
        <f t="shared" si="52"/>
        <v>48942.297600000005</v>
      </c>
      <c r="G86" s="3">
        <f t="shared" si="53"/>
        <v>49017.2088</v>
      </c>
      <c r="H86" s="3">
        <f t="shared" si="54"/>
        <v>49148.163199999995</v>
      </c>
      <c r="I86" s="3">
        <f t="shared" si="55"/>
        <v>49162.134600000005</v>
      </c>
    </row>
    <row r="87" spans="1:9" x14ac:dyDescent="0.25">
      <c r="A87">
        <v>100000</v>
      </c>
      <c r="B87" s="3">
        <f t="shared" si="48"/>
        <v>98889.332999999999</v>
      </c>
      <c r="C87" s="3">
        <f t="shared" si="49"/>
        <v>98220.896800000002</v>
      </c>
      <c r="D87" s="3">
        <f t="shared" si="50"/>
        <v>97891.211599999995</v>
      </c>
      <c r="E87" s="3">
        <f t="shared" si="51"/>
        <v>98720.282399999996</v>
      </c>
      <c r="F87" s="3">
        <f t="shared" si="52"/>
        <v>98109.388399999996</v>
      </c>
      <c r="G87" s="3">
        <f t="shared" si="53"/>
        <v>98308.271199999988</v>
      </c>
      <c r="H87" s="3">
        <f t="shared" si="54"/>
        <v>98194.521600000007</v>
      </c>
      <c r="I87" s="3">
        <f t="shared" si="55"/>
        <v>98596.244999999995</v>
      </c>
    </row>
    <row r="88" spans="1:9" x14ac:dyDescent="0.25">
      <c r="A88">
        <v>140000</v>
      </c>
      <c r="B88" s="3">
        <f t="shared" si="48"/>
        <v>138555.13339999999</v>
      </c>
      <c r="C88" s="3">
        <f t="shared" si="49"/>
        <v>137480.1158</v>
      </c>
      <c r="D88" s="3">
        <f t="shared" si="50"/>
        <v>136959.1832</v>
      </c>
      <c r="E88" s="3">
        <f t="shared" si="51"/>
        <v>137924.3254</v>
      </c>
      <c r="F88" s="3">
        <f t="shared" si="52"/>
        <v>136608.98199999999</v>
      </c>
      <c r="G88" s="3">
        <f t="shared" si="53"/>
        <v>137301.8622</v>
      </c>
      <c r="H88" s="3">
        <f t="shared" si="54"/>
        <v>137147.73659999997</v>
      </c>
      <c r="I88" s="3">
        <f t="shared" si="55"/>
        <v>137415.98120000001</v>
      </c>
    </row>
    <row r="90" spans="1:9" x14ac:dyDescent="0.25">
      <c r="A90" s="5" t="s">
        <v>10</v>
      </c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t="s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</row>
    <row r="92" spans="1:9" x14ac:dyDescent="0.25">
      <c r="A92">
        <v>100</v>
      </c>
      <c r="B92" s="1">
        <f>B81-B70</f>
        <v>63.606519400003002</v>
      </c>
      <c r="C92" s="1">
        <f t="shared" ref="C92:I92" si="56">C81-C70</f>
        <v>61.542365200003012</v>
      </c>
      <c r="D92" s="1">
        <f t="shared" si="56"/>
        <v>69.576099200003</v>
      </c>
      <c r="E92" s="1">
        <f t="shared" si="56"/>
        <v>72.445026800002992</v>
      </c>
      <c r="F92" s="1">
        <f t="shared" si="56"/>
        <v>67.384324600002998</v>
      </c>
      <c r="G92" s="1">
        <f t="shared" si="56"/>
        <v>63.152971000002999</v>
      </c>
      <c r="H92" s="1">
        <f t="shared" si="56"/>
        <v>69.834331600002997</v>
      </c>
      <c r="I92" s="1">
        <f t="shared" si="56"/>
        <v>66.738871600002994</v>
      </c>
    </row>
    <row r="93" spans="1:9" x14ac:dyDescent="0.25">
      <c r="A93">
        <v>500</v>
      </c>
      <c r="B93" s="1">
        <f t="shared" ref="B93:I93" si="57">B82-B71</f>
        <v>442.17689999997606</v>
      </c>
      <c r="C93" s="1">
        <f t="shared" si="57"/>
        <v>437.78189999997602</v>
      </c>
      <c r="D93" s="1">
        <f t="shared" si="57"/>
        <v>439.74529999997606</v>
      </c>
      <c r="E93" s="1">
        <f t="shared" si="57"/>
        <v>438.83549999997604</v>
      </c>
      <c r="F93" s="1">
        <f t="shared" si="57"/>
        <v>439.63309999997597</v>
      </c>
      <c r="G93" s="1">
        <f t="shared" si="57"/>
        <v>434.89829999997602</v>
      </c>
      <c r="H93" s="1">
        <f t="shared" si="57"/>
        <v>435.36749999997608</v>
      </c>
      <c r="I93" s="1">
        <f t="shared" si="57"/>
        <v>440.03849999997601</v>
      </c>
    </row>
    <row r="94" spans="1:9" x14ac:dyDescent="0.25">
      <c r="A94">
        <v>1000</v>
      </c>
      <c r="B94" s="1">
        <f t="shared" ref="B94:I94" si="58">B83-B72</f>
        <v>943.49680000000001</v>
      </c>
      <c r="C94" s="1">
        <f t="shared" si="58"/>
        <v>940.04</v>
      </c>
      <c r="D94" s="1">
        <f t="shared" si="58"/>
        <v>937.97559999999999</v>
      </c>
      <c r="E94" s="1">
        <f t="shared" si="58"/>
        <v>939.24959999999999</v>
      </c>
      <c r="F94" s="1">
        <f t="shared" si="58"/>
        <v>934.05880000000002</v>
      </c>
      <c r="G94" s="1">
        <f t="shared" si="58"/>
        <v>935.45820000000003</v>
      </c>
      <c r="H94" s="1">
        <f t="shared" si="58"/>
        <v>936.93060000000014</v>
      </c>
      <c r="I94" s="1">
        <f t="shared" si="58"/>
        <v>940.8836</v>
      </c>
    </row>
    <row r="95" spans="1:9" x14ac:dyDescent="0.25">
      <c r="A95">
        <v>5000</v>
      </c>
      <c r="B95" s="1">
        <f t="shared" ref="B95:I95" si="59">B84-B73</f>
        <v>4935.5751999999993</v>
      </c>
      <c r="C95" s="1">
        <f t="shared" si="59"/>
        <v>4903.4369999999999</v>
      </c>
      <c r="D95" s="1">
        <f t="shared" si="59"/>
        <v>4896.4445999999998</v>
      </c>
      <c r="E95" s="1">
        <f t="shared" si="59"/>
        <v>4907.5299999999988</v>
      </c>
      <c r="F95" s="1">
        <f t="shared" si="59"/>
        <v>4896.3896000000004</v>
      </c>
      <c r="G95" s="1">
        <f t="shared" si="59"/>
        <v>4897.0922</v>
      </c>
      <c r="H95" s="1">
        <f t="shared" si="59"/>
        <v>4895.0349999999999</v>
      </c>
      <c r="I95" s="1">
        <f t="shared" si="59"/>
        <v>4908.1476000000002</v>
      </c>
    </row>
    <row r="96" spans="1:9" x14ac:dyDescent="0.25">
      <c r="A96">
        <v>10000</v>
      </c>
      <c r="B96" s="1">
        <f t="shared" ref="B96:I96" si="60">B85-B74</f>
        <v>9900.0041999999994</v>
      </c>
      <c r="C96" s="1">
        <f t="shared" si="60"/>
        <v>9864.09</v>
      </c>
      <c r="D96" s="1">
        <f t="shared" si="60"/>
        <v>9807.6459999999988</v>
      </c>
      <c r="E96" s="1">
        <f t="shared" si="60"/>
        <v>9853.5527999999995</v>
      </c>
      <c r="F96" s="1">
        <f t="shared" si="60"/>
        <v>9809.9706000000006</v>
      </c>
      <c r="G96" s="1">
        <f t="shared" si="60"/>
        <v>9812.3911999999982</v>
      </c>
      <c r="H96" s="1">
        <f t="shared" si="60"/>
        <v>9856.5977999999996</v>
      </c>
      <c r="I96" s="1">
        <f t="shared" si="60"/>
        <v>9896.2862000000005</v>
      </c>
    </row>
    <row r="97" spans="1:9" x14ac:dyDescent="0.25">
      <c r="A97">
        <v>50000</v>
      </c>
      <c r="B97" s="1">
        <f t="shared" ref="B97:I97" si="61">B86-B75</f>
        <v>49468.279944905</v>
      </c>
      <c r="C97" s="1">
        <f t="shared" si="61"/>
        <v>49218.67687548</v>
      </c>
      <c r="D97" s="1">
        <f t="shared" si="61"/>
        <v>48912.887219209006</v>
      </c>
      <c r="E97" s="1">
        <f t="shared" si="61"/>
        <v>49272.985491502994</v>
      </c>
      <c r="F97" s="1">
        <f t="shared" si="61"/>
        <v>48942.248468655009</v>
      </c>
      <c r="G97" s="1">
        <f t="shared" si="61"/>
        <v>49017.159459855997</v>
      </c>
      <c r="H97" s="1">
        <f t="shared" si="61"/>
        <v>49148.113918566996</v>
      </c>
      <c r="I97" s="1">
        <f t="shared" si="61"/>
        <v>49162.085217250002</v>
      </c>
    </row>
    <row r="98" spans="1:9" x14ac:dyDescent="0.25">
      <c r="A98">
        <v>100000</v>
      </c>
      <c r="B98" s="1">
        <f t="shared" ref="B98:I98" si="62">B87-B76</f>
        <v>98889.233737069997</v>
      </c>
      <c r="C98" s="1">
        <f t="shared" si="62"/>
        <v>98220.798151258001</v>
      </c>
      <c r="D98" s="1">
        <f t="shared" si="62"/>
        <v>97891.113256568002</v>
      </c>
      <c r="E98" s="1">
        <f t="shared" si="62"/>
        <v>98720.183409962003</v>
      </c>
      <c r="F98" s="1">
        <f t="shared" si="62"/>
        <v>98109.290104945001</v>
      </c>
      <c r="G98" s="1">
        <f t="shared" si="62"/>
        <v>98308.172542860993</v>
      </c>
      <c r="H98" s="1">
        <f t="shared" si="62"/>
        <v>98194.423045992007</v>
      </c>
      <c r="I98" s="1">
        <f t="shared" si="62"/>
        <v>98596.146239588998</v>
      </c>
    </row>
    <row r="99" spans="1:9" x14ac:dyDescent="0.25">
      <c r="A99">
        <v>140000</v>
      </c>
      <c r="B99" s="1">
        <f t="shared" ref="B99:I99" si="63">B88-B77</f>
        <v>138554.99486213099</v>
      </c>
      <c r="C99" s="1">
        <f t="shared" si="63"/>
        <v>137479.978067613</v>
      </c>
      <c r="D99" s="1">
        <f t="shared" si="63"/>
        <v>136959.04591888</v>
      </c>
      <c r="E99" s="1">
        <f t="shared" si="63"/>
        <v>137924.187226062</v>
      </c>
      <c r="F99" s="1">
        <f t="shared" si="63"/>
        <v>136608.84473317</v>
      </c>
      <c r="G99" s="1">
        <f t="shared" si="63"/>
        <v>137301.724497699</v>
      </c>
      <c r="H99" s="1">
        <f t="shared" si="63"/>
        <v>137147.59901254196</v>
      </c>
      <c r="I99" s="1">
        <f t="shared" si="63"/>
        <v>137415.84330896102</v>
      </c>
    </row>
  </sheetData>
  <mergeCells count="9">
    <mergeCell ref="A68:I68"/>
    <mergeCell ref="A79:I79"/>
    <mergeCell ref="A90:I90"/>
    <mergeCell ref="A57:I57"/>
    <mergeCell ref="A1:I1"/>
    <mergeCell ref="A12:I12"/>
    <mergeCell ref="A23:I23"/>
    <mergeCell ref="A35:I35"/>
    <mergeCell ref="A46:I46"/>
  </mergeCells>
  <conditionalFormatting sqref="B14:I14">
    <cfRule type="cellIs" dxfId="47" priority="47" operator="lessThan">
      <formula>35</formula>
    </cfRule>
    <cfRule type="cellIs" dxfId="46" priority="48" operator="greaterThan">
      <formula>165</formula>
    </cfRule>
  </conditionalFormatting>
  <conditionalFormatting sqref="B15:I15">
    <cfRule type="cellIs" dxfId="45" priority="46" operator="greaterThan">
      <formula>585</formula>
    </cfRule>
    <cfRule type="cellIs" dxfId="44" priority="45" operator="lessThan">
      <formula>415</formula>
    </cfRule>
  </conditionalFormatting>
  <conditionalFormatting sqref="B16:I16">
    <cfRule type="cellIs" dxfId="43" priority="44" operator="greaterThan">
      <formula>1110</formula>
    </cfRule>
    <cfRule type="cellIs" dxfId="42" priority="43" operator="lessThan">
      <formula>890</formula>
    </cfRule>
  </conditionalFormatting>
  <conditionalFormatting sqref="B17:I17">
    <cfRule type="cellIs" dxfId="41" priority="42" operator="lessThan">
      <formula>4690</formula>
    </cfRule>
    <cfRule type="cellIs" dxfId="40" priority="41" operator="greaterThan">
      <formula>5310</formula>
    </cfRule>
  </conditionalFormatting>
  <conditionalFormatting sqref="B18:I18">
    <cfRule type="cellIs" dxfId="39" priority="40" operator="lessThan">
      <formula>9440</formula>
    </cfRule>
    <cfRule type="cellIs" dxfId="38" priority="39" operator="greaterThan">
      <formula>10560</formula>
    </cfRule>
  </conditionalFormatting>
  <conditionalFormatting sqref="B19:I19">
    <cfRule type="cellIs" dxfId="37" priority="38" operator="greaterThan">
      <formula>52560</formula>
    </cfRule>
    <cfRule type="cellIs" dxfId="36" priority="37" operator="lessThan">
      <formula>47440</formula>
    </cfRule>
  </conditionalFormatting>
  <conditionalFormatting sqref="B20:I20">
    <cfRule type="cellIs" dxfId="35" priority="36" operator="greaterThan">
      <formula>105060</formula>
    </cfRule>
    <cfRule type="cellIs" dxfId="34" priority="35" operator="lessThan">
      <formula>94940</formula>
    </cfRule>
  </conditionalFormatting>
  <conditionalFormatting sqref="B21:I21">
    <cfRule type="cellIs" dxfId="33" priority="34" operator="greaterThan">
      <formula>147060</formula>
    </cfRule>
    <cfRule type="cellIs" dxfId="32" priority="33" operator="lessThan">
      <formula>132940</formula>
    </cfRule>
  </conditionalFormatting>
  <conditionalFormatting sqref="B48:I48">
    <cfRule type="cellIs" dxfId="31" priority="31" operator="lessThan">
      <formula>35</formula>
    </cfRule>
    <cfRule type="cellIs" dxfId="30" priority="32" operator="greaterThan">
      <formula>165</formula>
    </cfRule>
  </conditionalFormatting>
  <conditionalFormatting sqref="B49:I49">
    <cfRule type="cellIs" dxfId="29" priority="30" operator="greaterThan">
      <formula>585</formula>
    </cfRule>
    <cfRule type="cellIs" dxfId="28" priority="29" operator="lessThan">
      <formula>415</formula>
    </cfRule>
  </conditionalFormatting>
  <conditionalFormatting sqref="B50:I50">
    <cfRule type="cellIs" dxfId="27" priority="28" operator="greaterThan">
      <formula>1110</formula>
    </cfRule>
    <cfRule type="cellIs" dxfId="26" priority="27" operator="lessThan">
      <formula>890</formula>
    </cfRule>
  </conditionalFormatting>
  <conditionalFormatting sqref="B51:I51">
    <cfRule type="cellIs" dxfId="25" priority="25" operator="lessThan">
      <formula>4690</formula>
    </cfRule>
    <cfRule type="cellIs" dxfId="24" priority="26" operator="greaterThan">
      <formula>5310</formula>
    </cfRule>
  </conditionalFormatting>
  <conditionalFormatting sqref="B52:I52">
    <cfRule type="cellIs" dxfId="23" priority="24" operator="greaterThan">
      <formula>10560</formula>
    </cfRule>
    <cfRule type="cellIs" dxfId="22" priority="23" operator="lessThan">
      <formula>9440</formula>
    </cfRule>
  </conditionalFormatting>
  <conditionalFormatting sqref="B53:I53">
    <cfRule type="cellIs" dxfId="21" priority="22" operator="greaterThan">
      <formula>52560</formula>
    </cfRule>
    <cfRule type="cellIs" dxfId="20" priority="21" operator="lessThan">
      <formula>47440</formula>
    </cfRule>
  </conditionalFormatting>
  <conditionalFormatting sqref="B54:I54">
    <cfRule type="cellIs" dxfId="19" priority="19" operator="lessThan">
      <formula>94940</formula>
    </cfRule>
    <cfRule type="cellIs" dxfId="18" priority="20" operator="greaterThan">
      <formula>105060</formula>
    </cfRule>
  </conditionalFormatting>
  <conditionalFormatting sqref="B55:I55">
    <cfRule type="cellIs" dxfId="17" priority="18" operator="greaterThan">
      <formula>147060</formula>
    </cfRule>
    <cfRule type="cellIs" dxfId="16" priority="17" operator="lessThan">
      <formula>132940</formula>
    </cfRule>
  </conditionalFormatting>
  <conditionalFormatting sqref="B81:I81">
    <cfRule type="cellIs" dxfId="15" priority="16" operator="greaterThan">
      <formula>165</formula>
    </cfRule>
    <cfRule type="cellIs" dxfId="14" priority="15" operator="lessThan">
      <formula>35</formula>
    </cfRule>
  </conditionalFormatting>
  <conditionalFormatting sqref="B82:I82">
    <cfRule type="cellIs" dxfId="13" priority="13" operator="lessThan">
      <formula>415</formula>
    </cfRule>
    <cfRule type="cellIs" dxfId="12" priority="14" operator="greaterThan">
      <formula>585</formula>
    </cfRule>
  </conditionalFormatting>
  <conditionalFormatting sqref="B83:I83">
    <cfRule type="cellIs" dxfId="11" priority="12" operator="greaterThan">
      <formula>1110</formula>
    </cfRule>
    <cfRule type="cellIs" dxfId="10" priority="11" operator="lessThan">
      <formula>890</formula>
    </cfRule>
  </conditionalFormatting>
  <conditionalFormatting sqref="B84:I84">
    <cfRule type="cellIs" dxfId="9" priority="10" operator="greaterThan">
      <formula>5310</formula>
    </cfRule>
    <cfRule type="cellIs" dxfId="8" priority="9" operator="lessThan">
      <formula>4690</formula>
    </cfRule>
  </conditionalFormatting>
  <conditionalFormatting sqref="B85:I85">
    <cfRule type="cellIs" dxfId="7" priority="7" operator="lessThan">
      <formula>9440</formula>
    </cfRule>
    <cfRule type="cellIs" dxfId="6" priority="8" operator="greaterThan">
      <formula>10560</formula>
    </cfRule>
  </conditionalFormatting>
  <conditionalFormatting sqref="B86:I86">
    <cfRule type="cellIs" dxfId="5" priority="6" operator="greaterThan">
      <formula>52560</formula>
    </cfRule>
    <cfRule type="cellIs" dxfId="4" priority="5" operator="lessThan">
      <formula>47440</formula>
    </cfRule>
  </conditionalFormatting>
  <conditionalFormatting sqref="B87:I87">
    <cfRule type="cellIs" dxfId="3" priority="4" operator="greaterThan">
      <formula>105060</formula>
    </cfRule>
    <cfRule type="cellIs" dxfId="2" priority="3" operator="lessThan">
      <formula>94940</formula>
    </cfRule>
  </conditionalFormatting>
  <conditionalFormatting sqref="B88:I88">
    <cfRule type="cellIs" dxfId="1" priority="2" operator="greaterThan">
      <formula>147060</formula>
    </cfRule>
    <cfRule type="cellIs" dxfId="0" priority="1" operator="lessThan">
      <formula>132940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Shaev Andrew</cp:lastModifiedBy>
  <dcterms:created xsi:type="dcterms:W3CDTF">2015-06-05T18:17:20Z</dcterms:created>
  <dcterms:modified xsi:type="dcterms:W3CDTF">2026-05-20T07:59:36Z</dcterms:modified>
</cp:coreProperties>
</file>
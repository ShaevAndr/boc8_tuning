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13_ncr:1_{600B7D3F-53A3-4F40-A3B8-AFFD986938B6}" xr6:coauthVersionLast="47" xr6:coauthVersionMax="47" xr10:uidLastSave="{00000000-0000-0000-0000-000000000000}"/>
  <bookViews>
    <workbookView xWindow="2640" yWindow="195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C59" i="1"/>
  <c r="D59" i="1"/>
  <c r="E59" i="1"/>
  <c r="F59" i="1"/>
  <c r="G59" i="1"/>
  <c r="H59" i="1"/>
  <c r="I59" i="1"/>
  <c r="B59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C25" i="1"/>
  <c r="D25" i="1"/>
  <c r="E25" i="1"/>
  <c r="F25" i="1"/>
  <c r="G25" i="1"/>
  <c r="H25" i="1"/>
  <c r="I25" i="1"/>
  <c r="B25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C92" i="1"/>
  <c r="D92" i="1"/>
  <c r="E92" i="1"/>
  <c r="F92" i="1"/>
  <c r="G92" i="1"/>
  <c r="H92" i="1"/>
  <c r="I92" i="1"/>
  <c r="B92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C81" i="1"/>
  <c r="D81" i="1"/>
  <c r="E81" i="1"/>
  <c r="F81" i="1"/>
  <c r="G81" i="1"/>
  <c r="H81" i="1"/>
  <c r="I81" i="1"/>
  <c r="B81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C70" i="1"/>
  <c r="D70" i="1"/>
  <c r="E70" i="1"/>
  <c r="F70" i="1"/>
  <c r="G70" i="1"/>
  <c r="H70" i="1"/>
  <c r="I70" i="1"/>
  <c r="B70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<sst xmlns="http://schemas.openxmlformats.org/spreadsheetml/2006/main" count="18" uniqueCount="11">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</sst>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1" fontId="1" fillId="0" borderId="1" xfId="0" applyNumberFormat="1" applyFont="1" applyBorder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workbookViewId="0">
      <selection activeCell="M5" sqref="M5"/>
    </sheetView>
  </sheetViews>
  <sheetFormatPr defaultRowHeight="15" x14ac:dyDescent="0.25"/>
  <cols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5">
        <v>1.52347E-2</v>
      </c>
      <c r="N1" s="5">
        <v>1.5250632E-2</v>
      </c>
      <c r="O1" s="5">
        <v>1.5273347E-2</v>
      </c>
      <c r="P1" s="5">
        <v>1.5245573E-2</v>
      </c>
      <c r="Q1" s="5">
        <v>1.524666E-2</v>
      </c>
      <c r="R1" s="5">
        <v>1.5276911000000001E-2</v>
      </c>
      <c r="S1" s="5">
        <v>1.5162475E-2</v>
      </c>
      <c r="T1" s="5">
        <v>1.5218377999999999E-2</v>
      </c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5">
        <v>1.5165812000000001E-2</v>
      </c>
      <c r="N2" s="5">
        <v>1.5213915E-2</v>
      </c>
      <c r="O2" s="5">
        <v>1.5206905999999999E-2</v>
      </c>
      <c r="P2" s="5">
        <v>1.521369E-2</v>
      </c>
      <c r="Q2" s="5">
        <v>1.5179829000000001E-2</v>
      </c>
      <c r="R2" s="5">
        <v>1.5233846000000001E-2</v>
      </c>
      <c r="S2" s="5">
        <v>1.5053059000000001E-2</v>
      </c>
      <c r="T2" s="5">
        <v>1.5140031999999999E-2</v>
      </c>
    </row>
    <row r="3" spans="1:20" x14ac:dyDescent="0.25">
      <c r="A3">
        <v>50</v>
      </c>
      <c r="B3" s="1">
        <f>M1</f>
        <v>1.52347E-2</v>
      </c>
      <c r="C3" s="1">
        <f t="shared" ref="C3:I10" si="0">N1</f>
        <v>1.5250632E-2</v>
      </c>
      <c r="D3" s="1">
        <f t="shared" si="0"/>
        <v>1.5273347E-2</v>
      </c>
      <c r="E3" s="1">
        <f t="shared" si="0"/>
        <v>1.5245573E-2</v>
      </c>
      <c r="F3" s="1">
        <f t="shared" si="0"/>
        <v>1.524666E-2</v>
      </c>
      <c r="G3" s="1">
        <f t="shared" si="0"/>
        <v>1.5276911000000001E-2</v>
      </c>
      <c r="H3" s="1">
        <f t="shared" si="0"/>
        <v>1.5162475E-2</v>
      </c>
      <c r="I3" s="1">
        <f t="shared" si="0"/>
        <v>1.5218377999999999E-2</v>
      </c>
      <c r="M3" s="5">
        <v>1.5150271999999999E-2</v>
      </c>
      <c r="N3" s="5">
        <v>1.5201245E-2</v>
      </c>
      <c r="O3" s="5">
        <v>1.5178962000000001E-2</v>
      </c>
      <c r="P3" s="5">
        <v>1.5202304999999999E-2</v>
      </c>
      <c r="Q3" s="5">
        <v>1.5156288E-2</v>
      </c>
      <c r="R3" s="5">
        <v>1.5212130000000001E-2</v>
      </c>
      <c r="S3" s="5">
        <v>1.5033886999999999E-2</v>
      </c>
      <c r="T3" s="5">
        <v>1.5118863999999999E-2</v>
      </c>
    </row>
    <row r="4" spans="1:20" x14ac:dyDescent="0.25">
      <c r="A4">
        <v>60</v>
      </c>
      <c r="B4" s="1">
        <f t="shared" ref="B4:B10" si="1">M2</f>
        <v>1.5165812000000001E-2</v>
      </c>
      <c r="C4" s="1">
        <f t="shared" si="0"/>
        <v>1.5213915E-2</v>
      </c>
      <c r="D4" s="1">
        <f t="shared" si="0"/>
        <v>1.5206905999999999E-2</v>
      </c>
      <c r="E4" s="1">
        <f t="shared" si="0"/>
        <v>1.521369E-2</v>
      </c>
      <c r="F4" s="1">
        <f t="shared" si="0"/>
        <v>1.5179829000000001E-2</v>
      </c>
      <c r="G4" s="1">
        <f t="shared" si="0"/>
        <v>1.5233846000000001E-2</v>
      </c>
      <c r="H4" s="1">
        <f t="shared" si="0"/>
        <v>1.5053059000000001E-2</v>
      </c>
      <c r="I4" s="1">
        <f t="shared" si="0"/>
        <v>1.5140031999999999E-2</v>
      </c>
      <c r="M4" s="5">
        <v>1.5159298E-2</v>
      </c>
      <c r="N4" s="5">
        <v>1.5182327000000001E-2</v>
      </c>
      <c r="O4" s="5">
        <v>1.5168752000000001E-2</v>
      </c>
      <c r="P4" s="5">
        <v>1.518829E-2</v>
      </c>
      <c r="Q4" s="5">
        <v>1.5149821000000001E-2</v>
      </c>
      <c r="R4" s="5">
        <v>1.5188246000000001E-2</v>
      </c>
      <c r="S4" s="5">
        <v>1.5089707000000001E-2</v>
      </c>
      <c r="T4" s="5">
        <v>1.5131027E-2</v>
      </c>
    </row>
    <row r="5" spans="1:20" x14ac:dyDescent="0.25">
      <c r="A5">
        <v>70</v>
      </c>
      <c r="B5" s="1">
        <f t="shared" si="1"/>
        <v>1.5150271999999999E-2</v>
      </c>
      <c r="C5" s="1">
        <f t="shared" si="0"/>
        <v>1.5201245E-2</v>
      </c>
      <c r="D5" s="1">
        <f t="shared" si="0"/>
        <v>1.5178962000000001E-2</v>
      </c>
      <c r="E5" s="1">
        <f t="shared" si="0"/>
        <v>1.5202304999999999E-2</v>
      </c>
      <c r="F5" s="1">
        <f t="shared" si="0"/>
        <v>1.5156288E-2</v>
      </c>
      <c r="G5" s="1">
        <f t="shared" si="0"/>
        <v>1.5212130000000001E-2</v>
      </c>
      <c r="H5" s="1">
        <f t="shared" si="0"/>
        <v>1.5033886999999999E-2</v>
      </c>
      <c r="I5" s="1">
        <f t="shared" si="0"/>
        <v>1.5118863999999999E-2</v>
      </c>
      <c r="M5" s="5">
        <v>1.5153829000000001E-2</v>
      </c>
      <c r="N5" s="5">
        <v>1.5153260999999999E-2</v>
      </c>
      <c r="O5" s="5">
        <v>1.5155523000000001E-2</v>
      </c>
      <c r="P5" s="5">
        <v>1.5157359E-2</v>
      </c>
      <c r="Q5" s="5">
        <v>1.5133245E-2</v>
      </c>
      <c r="R5" s="5">
        <v>1.5163390000000001E-2</v>
      </c>
      <c r="S5" s="5">
        <v>1.5106352E-2</v>
      </c>
      <c r="T5" s="5">
        <v>1.5126053E-2</v>
      </c>
    </row>
    <row r="6" spans="1:20" x14ac:dyDescent="0.25">
      <c r="A6">
        <v>100</v>
      </c>
      <c r="B6" s="1">
        <f t="shared" si="1"/>
        <v>1.5159298E-2</v>
      </c>
      <c r="C6" s="1">
        <f t="shared" si="0"/>
        <v>1.5182327000000001E-2</v>
      </c>
      <c r="D6" s="1">
        <f t="shared" si="0"/>
        <v>1.5168752000000001E-2</v>
      </c>
      <c r="E6" s="1">
        <f t="shared" si="0"/>
        <v>1.518829E-2</v>
      </c>
      <c r="F6" s="1">
        <f t="shared" si="0"/>
        <v>1.5149821000000001E-2</v>
      </c>
      <c r="G6" s="1">
        <f t="shared" si="0"/>
        <v>1.5188246000000001E-2</v>
      </c>
      <c r="H6" s="1">
        <f t="shared" si="0"/>
        <v>1.5089707000000001E-2</v>
      </c>
      <c r="I6" s="1">
        <f t="shared" si="0"/>
        <v>1.5131027E-2</v>
      </c>
      <c r="M6" s="5">
        <v>1.5152712E-2</v>
      </c>
      <c r="N6" s="5">
        <v>1.5145359000000001E-2</v>
      </c>
      <c r="O6" s="5">
        <v>1.5153211999999999E-2</v>
      </c>
      <c r="P6" s="5">
        <v>1.5148521E-2</v>
      </c>
      <c r="Q6" s="5">
        <v>1.5130909999999999E-2</v>
      </c>
      <c r="R6" s="5">
        <v>1.5153405999999999E-2</v>
      </c>
      <c r="S6" s="5">
        <v>1.5115787E-2</v>
      </c>
      <c r="T6" s="5">
        <v>1.5132095E-2</v>
      </c>
    </row>
    <row r="7" spans="1:20" x14ac:dyDescent="0.25">
      <c r="A7">
        <v>140</v>
      </c>
      <c r="B7" s="1">
        <f t="shared" si="1"/>
        <v>1.5153829000000001E-2</v>
      </c>
      <c r="C7" s="1">
        <f t="shared" si="0"/>
        <v>1.5153260999999999E-2</v>
      </c>
      <c r="D7" s="1">
        <f t="shared" si="0"/>
        <v>1.5155523000000001E-2</v>
      </c>
      <c r="E7" s="1">
        <f t="shared" si="0"/>
        <v>1.5157359E-2</v>
      </c>
      <c r="F7" s="1">
        <f t="shared" si="0"/>
        <v>1.5133245E-2</v>
      </c>
      <c r="G7" s="1">
        <f t="shared" si="0"/>
        <v>1.5163390000000001E-2</v>
      </c>
      <c r="H7" s="1">
        <f t="shared" si="0"/>
        <v>1.5106352E-2</v>
      </c>
      <c r="I7" s="1">
        <f t="shared" si="0"/>
        <v>1.5126053E-2</v>
      </c>
      <c r="M7" s="5">
        <v>1.5170256E-2</v>
      </c>
      <c r="N7" s="5">
        <v>1.5161041E-2</v>
      </c>
      <c r="O7" s="5">
        <v>1.5172421E-2</v>
      </c>
      <c r="P7" s="5">
        <v>1.5163006E-2</v>
      </c>
      <c r="Q7" s="5">
        <v>1.5148915000000001E-2</v>
      </c>
      <c r="R7" s="5">
        <v>1.5171275999999999E-2</v>
      </c>
      <c r="S7" s="5">
        <v>1.5137592E-2</v>
      </c>
      <c r="T7" s="5">
        <v>1.5149849E-2</v>
      </c>
    </row>
    <row r="8" spans="1:20" x14ac:dyDescent="0.25">
      <c r="A8">
        <v>180</v>
      </c>
      <c r="B8" s="1">
        <f t="shared" si="1"/>
        <v>1.5152712E-2</v>
      </c>
      <c r="C8" s="1">
        <f t="shared" si="0"/>
        <v>1.5145359000000001E-2</v>
      </c>
      <c r="D8" s="1">
        <f t="shared" si="0"/>
        <v>1.5153211999999999E-2</v>
      </c>
      <c r="E8" s="1">
        <f t="shared" si="0"/>
        <v>1.5148521E-2</v>
      </c>
      <c r="F8" s="1">
        <f t="shared" si="0"/>
        <v>1.5130909999999999E-2</v>
      </c>
      <c r="G8" s="1">
        <f t="shared" si="0"/>
        <v>1.5153405999999999E-2</v>
      </c>
      <c r="H8" s="1">
        <f t="shared" si="0"/>
        <v>1.5115787E-2</v>
      </c>
      <c r="I8" s="1">
        <f t="shared" si="0"/>
        <v>1.5132095E-2</v>
      </c>
      <c r="M8" s="5">
        <v>1.5192762E-2</v>
      </c>
      <c r="N8" s="5">
        <v>1.5179666E-2</v>
      </c>
      <c r="O8" s="5">
        <v>1.5188591E-2</v>
      </c>
      <c r="P8" s="5">
        <v>1.5177670000000001E-2</v>
      </c>
      <c r="Q8" s="5">
        <v>1.5164359000000001E-2</v>
      </c>
      <c r="R8" s="5">
        <v>1.5185442E-2</v>
      </c>
      <c r="S8" s="5">
        <v>1.5160074000000001E-2</v>
      </c>
      <c r="T8" s="5">
        <v>1.5173097E-2</v>
      </c>
    </row>
    <row r="9" spans="1:20" x14ac:dyDescent="0.25">
      <c r="A9">
        <v>210</v>
      </c>
      <c r="B9" s="1">
        <f t="shared" si="1"/>
        <v>1.5170256E-2</v>
      </c>
      <c r="C9" s="1">
        <f t="shared" si="0"/>
        <v>1.5161041E-2</v>
      </c>
      <c r="D9" s="1">
        <f t="shared" si="0"/>
        <v>1.5172421E-2</v>
      </c>
      <c r="E9" s="1">
        <f t="shared" si="0"/>
        <v>1.5163006E-2</v>
      </c>
      <c r="F9" s="1">
        <f t="shared" si="0"/>
        <v>1.5148915000000001E-2</v>
      </c>
      <c r="G9" s="1">
        <f t="shared" si="0"/>
        <v>1.5171275999999999E-2</v>
      </c>
      <c r="H9" s="1">
        <f t="shared" si="0"/>
        <v>1.5137592E-2</v>
      </c>
      <c r="I9" s="1">
        <f t="shared" si="0"/>
        <v>1.5149849E-2</v>
      </c>
      <c r="M9" s="5">
        <v>8.8627519999999998E-3</v>
      </c>
      <c r="N9" s="5">
        <v>8.8629420000000004E-3</v>
      </c>
      <c r="O9" s="5">
        <v>8.775906E-3</v>
      </c>
      <c r="P9" s="5">
        <v>8.9199469999999993E-3</v>
      </c>
      <c r="Q9" s="5">
        <v>8.8176620000000004E-3</v>
      </c>
      <c r="R9" s="5">
        <v>8.8713000000000004E-3</v>
      </c>
      <c r="S9" s="5">
        <v>8.7735439999999994E-3</v>
      </c>
      <c r="T9" s="5">
        <v>8.8214969999999993E-3</v>
      </c>
    </row>
    <row r="10" spans="1:20" x14ac:dyDescent="0.25">
      <c r="A10">
        <v>250</v>
      </c>
      <c r="B10" s="1">
        <f t="shared" si="1"/>
        <v>1.5192762E-2</v>
      </c>
      <c r="C10" s="1">
        <f t="shared" si="0"/>
        <v>1.5179666E-2</v>
      </c>
      <c r="D10" s="1">
        <f t="shared" si="0"/>
        <v>1.5188591E-2</v>
      </c>
      <c r="E10" s="1">
        <f t="shared" si="0"/>
        <v>1.5177670000000001E-2</v>
      </c>
      <c r="F10" s="1">
        <f t="shared" si="0"/>
        <v>1.5164359000000001E-2</v>
      </c>
      <c r="G10" s="1">
        <f t="shared" si="0"/>
        <v>1.5185442E-2</v>
      </c>
      <c r="H10" s="1">
        <f t="shared" si="0"/>
        <v>1.5160074000000001E-2</v>
      </c>
      <c r="I10" s="1">
        <f t="shared" si="0"/>
        <v>1.5173097E-2</v>
      </c>
      <c r="M10" s="5">
        <v>1.2797073000000001E-2</v>
      </c>
      <c r="N10" s="5">
        <v>1.2711683999999999E-2</v>
      </c>
      <c r="O10" s="5">
        <v>1.2631486000000001E-2</v>
      </c>
      <c r="P10" s="5">
        <v>1.2776763999999999E-2</v>
      </c>
      <c r="Q10" s="5">
        <v>1.2693148E-2</v>
      </c>
      <c r="R10" s="5">
        <v>1.2735896E-2</v>
      </c>
      <c r="S10" s="5">
        <v>1.2747552000000001E-2</v>
      </c>
      <c r="T10" s="5">
        <v>1.2740868000000001E-2</v>
      </c>
    </row>
    <row r="11" spans="1:20" x14ac:dyDescent="0.25">
      <c r="M11" s="5">
        <v>1.4186124E-2</v>
      </c>
      <c r="N11" s="5">
        <v>1.4048982999999999E-2</v>
      </c>
      <c r="O11" s="5">
        <v>1.4000139999999999E-2</v>
      </c>
      <c r="P11" s="5">
        <v>1.4107101E-2</v>
      </c>
      <c r="Q11" s="5">
        <v>1.4066260000000001E-2</v>
      </c>
      <c r="R11" s="5">
        <v>1.4101448000000001E-2</v>
      </c>
      <c r="S11" s="5">
        <v>1.4143243999999999E-2</v>
      </c>
      <c r="T11" s="5">
        <v>1.4125584E-2</v>
      </c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5">
        <v>1.4607708E-2</v>
      </c>
      <c r="N12" s="5">
        <v>1.4477923E-2</v>
      </c>
      <c r="O12" s="5">
        <v>1.4441241E-2</v>
      </c>
      <c r="P12" s="5">
        <v>1.4507862E-2</v>
      </c>
      <c r="Q12" s="5">
        <v>1.4470597999999999E-2</v>
      </c>
      <c r="R12" s="5">
        <v>1.4543975000000001E-2</v>
      </c>
      <c r="S12" s="5">
        <v>1.4514750999999999E-2</v>
      </c>
      <c r="T12" s="5">
        <v>1.4536591999999999E-2</v>
      </c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5">
        <v>1.4470377E-2</v>
      </c>
      <c r="N13" s="5">
        <v>1.4373385000000001E-2</v>
      </c>
      <c r="O13" s="5">
        <v>1.4334286999999999E-2</v>
      </c>
      <c r="P13" s="5">
        <v>1.4394862E-2</v>
      </c>
      <c r="Q13" s="5">
        <v>1.4330518E-2</v>
      </c>
      <c r="R13" s="5">
        <v>1.4408471000000001E-2</v>
      </c>
      <c r="S13" s="5">
        <v>1.4315100000000001E-2</v>
      </c>
      <c r="T13" s="5">
        <v>1.4383460000000001E-2</v>
      </c>
    </row>
    <row r="14" spans="1:20" x14ac:dyDescent="0.25">
      <c r="A14">
        <v>50</v>
      </c>
      <c r="B14" s="1">
        <f>M9</f>
        <v>8.8627519999999998E-3</v>
      </c>
      <c r="C14" s="1">
        <f t="shared" ref="C14:I21" si="2">N9</f>
        <v>8.8629420000000004E-3</v>
      </c>
      <c r="D14" s="1">
        <f t="shared" si="2"/>
        <v>8.775906E-3</v>
      </c>
      <c r="E14" s="1">
        <f t="shared" si="2"/>
        <v>8.9199469999999993E-3</v>
      </c>
      <c r="F14" s="1">
        <f t="shared" si="2"/>
        <v>8.8176620000000004E-3</v>
      </c>
      <c r="G14" s="1">
        <f t="shared" si="2"/>
        <v>8.8713000000000004E-3</v>
      </c>
      <c r="H14" s="1">
        <f t="shared" si="2"/>
        <v>8.7735439999999994E-3</v>
      </c>
      <c r="I14" s="1">
        <f t="shared" si="2"/>
        <v>8.8214969999999993E-3</v>
      </c>
      <c r="M14" s="5">
        <v>1.4319072E-2</v>
      </c>
      <c r="N14" s="5">
        <v>1.4295007E-2</v>
      </c>
      <c r="O14" s="5">
        <v>1.4218577E-2</v>
      </c>
      <c r="P14" s="5">
        <v>1.4309006000000001E-2</v>
      </c>
      <c r="Q14" s="5">
        <v>1.4184452E-2</v>
      </c>
      <c r="R14" s="5">
        <v>1.4272381000000001E-2</v>
      </c>
      <c r="S14" s="5">
        <v>1.4158963E-2</v>
      </c>
      <c r="T14" s="5">
        <v>1.4221243999999999E-2</v>
      </c>
    </row>
    <row r="15" spans="1:20" x14ac:dyDescent="0.25">
      <c r="A15">
        <v>60</v>
      </c>
      <c r="B15" s="1">
        <f t="shared" ref="B15:B21" si="3">M10</f>
        <v>1.2797073000000001E-2</v>
      </c>
      <c r="C15" s="1">
        <f t="shared" si="2"/>
        <v>1.2711683999999999E-2</v>
      </c>
      <c r="D15" s="1">
        <f t="shared" si="2"/>
        <v>1.2631486000000001E-2</v>
      </c>
      <c r="E15" s="1">
        <f t="shared" si="2"/>
        <v>1.2776763999999999E-2</v>
      </c>
      <c r="F15" s="1">
        <f t="shared" si="2"/>
        <v>1.2693148E-2</v>
      </c>
      <c r="G15" s="1">
        <f t="shared" si="2"/>
        <v>1.2735896E-2</v>
      </c>
      <c r="H15" s="1">
        <f t="shared" si="2"/>
        <v>1.2747552000000001E-2</v>
      </c>
      <c r="I15" s="1">
        <f t="shared" si="2"/>
        <v>1.2740868000000001E-2</v>
      </c>
      <c r="M15" s="5">
        <v>1.3742894E-2</v>
      </c>
      <c r="N15" s="5">
        <v>1.3786048E-2</v>
      </c>
      <c r="O15" s="5">
        <v>1.3694655999999999E-2</v>
      </c>
      <c r="P15" s="5">
        <v>1.3804637E-2</v>
      </c>
      <c r="Q15" s="5">
        <v>1.3606633E-2</v>
      </c>
      <c r="R15" s="5">
        <v>1.3691900999999999E-2</v>
      </c>
      <c r="S15" s="5">
        <v>1.3605269E-2</v>
      </c>
      <c r="T15" s="5">
        <v>1.3655974E-2</v>
      </c>
    </row>
    <row r="16" spans="1:20" x14ac:dyDescent="0.25">
      <c r="A16">
        <v>70</v>
      </c>
      <c r="B16" s="1">
        <f t="shared" si="3"/>
        <v>1.4186124E-2</v>
      </c>
      <c r="C16" s="1">
        <f t="shared" si="2"/>
        <v>1.4048982999999999E-2</v>
      </c>
      <c r="D16" s="1">
        <f t="shared" si="2"/>
        <v>1.4000139999999999E-2</v>
      </c>
      <c r="E16" s="1">
        <f t="shared" si="2"/>
        <v>1.4107101E-2</v>
      </c>
      <c r="F16" s="1">
        <f t="shared" si="2"/>
        <v>1.4066260000000001E-2</v>
      </c>
      <c r="G16" s="1">
        <f t="shared" si="2"/>
        <v>1.4101448000000001E-2</v>
      </c>
      <c r="H16" s="1">
        <f t="shared" si="2"/>
        <v>1.4143243999999999E-2</v>
      </c>
      <c r="I16" s="1">
        <f t="shared" si="2"/>
        <v>1.4125584E-2</v>
      </c>
      <c r="M16" s="5">
        <v>1.1226036E-2</v>
      </c>
      <c r="N16" s="5">
        <v>1.1397317000000001E-2</v>
      </c>
      <c r="O16" s="5">
        <v>1.1312300000000001E-2</v>
      </c>
      <c r="P16" s="5">
        <v>1.1455092E-2</v>
      </c>
      <c r="Q16" s="5">
        <v>1.1130978E-2</v>
      </c>
      <c r="R16" s="5">
        <v>1.119626E-2</v>
      </c>
      <c r="S16" s="5">
        <v>1.1207063999999999E-2</v>
      </c>
      <c r="T16" s="5">
        <v>1.1192145000000001E-2</v>
      </c>
    </row>
    <row r="17" spans="1:20" x14ac:dyDescent="0.25">
      <c r="A17">
        <v>100</v>
      </c>
      <c r="B17" s="1">
        <f t="shared" si="3"/>
        <v>1.4607708E-2</v>
      </c>
      <c r="C17" s="1">
        <f t="shared" si="2"/>
        <v>1.4477923E-2</v>
      </c>
      <c r="D17" s="1">
        <f t="shared" si="2"/>
        <v>1.4441241E-2</v>
      </c>
      <c r="E17" s="1">
        <f t="shared" si="2"/>
        <v>1.4507862E-2</v>
      </c>
      <c r="F17" s="1">
        <f t="shared" si="2"/>
        <v>1.4470597999999999E-2</v>
      </c>
      <c r="G17" s="1">
        <f t="shared" si="2"/>
        <v>1.4543975000000001E-2</v>
      </c>
      <c r="H17" s="1">
        <f t="shared" si="2"/>
        <v>1.4514750999999999E-2</v>
      </c>
      <c r="I17" s="1">
        <f t="shared" si="2"/>
        <v>1.4536591999999999E-2</v>
      </c>
      <c r="M17" s="5">
        <v>1.5236733000000001E-2</v>
      </c>
      <c r="N17" s="5">
        <v>1.5247976E-2</v>
      </c>
      <c r="O17" s="5">
        <v>1.5263651E-2</v>
      </c>
      <c r="P17" s="5">
        <v>1.5243335E-2</v>
      </c>
      <c r="Q17" s="5">
        <v>1.5235904E-2</v>
      </c>
      <c r="R17" s="5">
        <v>1.5271046E-2</v>
      </c>
      <c r="S17" s="5">
        <v>1.5162039E-2</v>
      </c>
      <c r="T17" s="5">
        <v>1.5218290000000001E-2</v>
      </c>
    </row>
    <row r="18" spans="1:20" x14ac:dyDescent="0.25">
      <c r="A18">
        <v>140</v>
      </c>
      <c r="B18" s="1">
        <f t="shared" si="3"/>
        <v>1.4470377E-2</v>
      </c>
      <c r="C18" s="1">
        <f t="shared" si="2"/>
        <v>1.4373385000000001E-2</v>
      </c>
      <c r="D18" s="1">
        <f t="shared" si="2"/>
        <v>1.4334286999999999E-2</v>
      </c>
      <c r="E18" s="1">
        <f t="shared" si="2"/>
        <v>1.4394862E-2</v>
      </c>
      <c r="F18" s="1">
        <f t="shared" si="2"/>
        <v>1.4330518E-2</v>
      </c>
      <c r="G18" s="1">
        <f t="shared" si="2"/>
        <v>1.4408471000000001E-2</v>
      </c>
      <c r="H18" s="1">
        <f t="shared" si="2"/>
        <v>1.4315100000000001E-2</v>
      </c>
      <c r="I18" s="1">
        <f t="shared" si="2"/>
        <v>1.4383460000000001E-2</v>
      </c>
      <c r="M18" s="5">
        <v>1.5166331E-2</v>
      </c>
      <c r="N18" s="5">
        <v>1.5211479999999999E-2</v>
      </c>
      <c r="O18" s="5">
        <v>1.520092E-2</v>
      </c>
      <c r="P18" s="5">
        <v>1.5212735999999999E-2</v>
      </c>
      <c r="Q18" s="5">
        <v>1.5176736E-2</v>
      </c>
      <c r="R18" s="5">
        <v>1.5228396999999999E-2</v>
      </c>
      <c r="S18" s="5">
        <v>1.5049312E-2</v>
      </c>
      <c r="T18" s="5">
        <v>1.5138779E-2</v>
      </c>
    </row>
    <row r="19" spans="1:20" x14ac:dyDescent="0.25">
      <c r="A19">
        <v>180</v>
      </c>
      <c r="B19" s="1">
        <f t="shared" si="3"/>
        <v>1.4319072E-2</v>
      </c>
      <c r="C19" s="1">
        <f t="shared" si="2"/>
        <v>1.4295007E-2</v>
      </c>
      <c r="D19" s="1">
        <f t="shared" si="2"/>
        <v>1.4218577E-2</v>
      </c>
      <c r="E19" s="1">
        <f t="shared" si="2"/>
        <v>1.4309006000000001E-2</v>
      </c>
      <c r="F19" s="1">
        <f t="shared" si="2"/>
        <v>1.4184452E-2</v>
      </c>
      <c r="G19" s="1">
        <f t="shared" si="2"/>
        <v>1.4272381000000001E-2</v>
      </c>
      <c r="H19" s="1">
        <f t="shared" si="2"/>
        <v>1.4158963E-2</v>
      </c>
      <c r="I19" s="1">
        <f t="shared" si="2"/>
        <v>1.4221243999999999E-2</v>
      </c>
      <c r="M19" s="5">
        <v>1.5146273E-2</v>
      </c>
      <c r="N19" s="5">
        <v>1.5197155E-2</v>
      </c>
      <c r="O19" s="5">
        <v>1.5173644999999999E-2</v>
      </c>
      <c r="P19" s="5">
        <v>1.5204146999999999E-2</v>
      </c>
      <c r="Q19" s="5">
        <v>1.5155536000000001E-2</v>
      </c>
      <c r="R19" s="5">
        <v>1.5210652999999999E-2</v>
      </c>
      <c r="S19" s="5">
        <v>1.5032492999999999E-2</v>
      </c>
      <c r="T19" s="5">
        <v>1.5115217E-2</v>
      </c>
    </row>
    <row r="20" spans="1:20" x14ac:dyDescent="0.25">
      <c r="A20">
        <v>210</v>
      </c>
      <c r="B20" s="1">
        <f t="shared" si="3"/>
        <v>1.3742894E-2</v>
      </c>
      <c r="C20" s="1">
        <f t="shared" si="2"/>
        <v>1.3786048E-2</v>
      </c>
      <c r="D20" s="1">
        <f t="shared" si="2"/>
        <v>1.3694655999999999E-2</v>
      </c>
      <c r="E20" s="1">
        <f t="shared" si="2"/>
        <v>1.3804637E-2</v>
      </c>
      <c r="F20" s="1">
        <f t="shared" si="2"/>
        <v>1.3606633E-2</v>
      </c>
      <c r="G20" s="1">
        <f t="shared" si="2"/>
        <v>1.3691900999999999E-2</v>
      </c>
      <c r="H20" s="1">
        <f t="shared" si="2"/>
        <v>1.3605269E-2</v>
      </c>
      <c r="I20" s="1">
        <f t="shared" si="2"/>
        <v>1.3655974E-2</v>
      </c>
      <c r="M20" s="5">
        <v>1.5153569E-2</v>
      </c>
      <c r="N20" s="5">
        <v>1.5186579E-2</v>
      </c>
      <c r="O20" s="5">
        <v>1.5167626999999999E-2</v>
      </c>
      <c r="P20" s="5">
        <v>1.5188925000000001E-2</v>
      </c>
      <c r="Q20" s="5">
        <v>1.5146181E-2</v>
      </c>
      <c r="R20" s="5">
        <v>1.5187330000000001E-2</v>
      </c>
      <c r="S20" s="5">
        <v>1.5084584E-2</v>
      </c>
      <c r="T20" s="5">
        <v>1.5125052999999999E-2</v>
      </c>
    </row>
    <row r="21" spans="1:20" x14ac:dyDescent="0.25">
      <c r="A21">
        <v>250</v>
      </c>
      <c r="B21" s="1">
        <f t="shared" si="3"/>
        <v>1.1226036E-2</v>
      </c>
      <c r="C21" s="1">
        <f t="shared" si="2"/>
        <v>1.1397317000000001E-2</v>
      </c>
      <c r="D21" s="1">
        <f t="shared" si="2"/>
        <v>1.1312300000000001E-2</v>
      </c>
      <c r="E21" s="1">
        <f t="shared" si="2"/>
        <v>1.1455092E-2</v>
      </c>
      <c r="F21" s="1">
        <f t="shared" si="2"/>
        <v>1.1130978E-2</v>
      </c>
      <c r="G21" s="1">
        <f t="shared" si="2"/>
        <v>1.119626E-2</v>
      </c>
      <c r="H21" s="1">
        <f t="shared" si="2"/>
        <v>1.1207063999999999E-2</v>
      </c>
      <c r="I21" s="1">
        <f t="shared" si="2"/>
        <v>1.1192145000000001E-2</v>
      </c>
      <c r="M21" s="5">
        <v>1.5150047999999999E-2</v>
      </c>
      <c r="N21" s="5">
        <v>1.5153241E-2</v>
      </c>
      <c r="O21" s="5">
        <v>1.5153506000000001E-2</v>
      </c>
      <c r="P21" s="5">
        <v>1.5154402000000001E-2</v>
      </c>
      <c r="Q21" s="5">
        <v>1.5129050999999999E-2</v>
      </c>
      <c r="R21" s="5">
        <v>1.515727E-2</v>
      </c>
      <c r="S21" s="5">
        <v>1.5102814000000001E-2</v>
      </c>
      <c r="T21" s="5">
        <v>1.5124095000000001E-2</v>
      </c>
    </row>
    <row r="22" spans="1:20" x14ac:dyDescent="0.25">
      <c r="M22" s="5">
        <v>1.5148216000000001E-2</v>
      </c>
      <c r="N22" s="5">
        <v>1.5141816000000001E-2</v>
      </c>
      <c r="O22" s="5">
        <v>1.5150232E-2</v>
      </c>
      <c r="P22" s="5">
        <v>1.5140795E-2</v>
      </c>
      <c r="Q22" s="5">
        <v>1.5125582E-2</v>
      </c>
      <c r="R22" s="5">
        <v>1.5150376E-2</v>
      </c>
      <c r="S22" s="5">
        <v>1.5110533000000001E-2</v>
      </c>
      <c r="T22" s="5">
        <v>1.5130711E-2</v>
      </c>
    </row>
    <row r="23" spans="1:20" x14ac:dyDescent="0.25">
      <c r="A23" s="3" t="s">
        <v>4</v>
      </c>
      <c r="B23" s="3"/>
      <c r="C23" s="3"/>
      <c r="D23" s="3"/>
      <c r="E23" s="3"/>
      <c r="F23" s="3"/>
      <c r="G23" s="3"/>
      <c r="H23" s="3"/>
      <c r="I23" s="3"/>
      <c r="M23" s="5">
        <v>1.5164234E-2</v>
      </c>
      <c r="N23" s="5">
        <v>1.5154282999999999E-2</v>
      </c>
      <c r="O23" s="5">
        <v>1.5168979000000001E-2</v>
      </c>
      <c r="P23" s="5">
        <v>1.5160606E-2</v>
      </c>
      <c r="Q23" s="5">
        <v>1.5144773E-2</v>
      </c>
      <c r="R23" s="5">
        <v>1.5168229E-2</v>
      </c>
      <c r="S23" s="5">
        <v>1.5138586000000001E-2</v>
      </c>
      <c r="T23" s="5">
        <v>1.5152878E-2</v>
      </c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5">
        <v>1.5188452999999999E-2</v>
      </c>
      <c r="N24" s="5">
        <v>1.5178262E-2</v>
      </c>
      <c r="O24" s="5">
        <v>1.5192898E-2</v>
      </c>
      <c r="P24" s="5">
        <v>1.5182232E-2</v>
      </c>
      <c r="Q24" s="5">
        <v>1.5166719E-2</v>
      </c>
      <c r="R24" s="5">
        <v>1.5187846E-2</v>
      </c>
      <c r="S24" s="5">
        <v>1.5164693E-2</v>
      </c>
      <c r="T24" s="5">
        <v>1.5175711999999999E-2</v>
      </c>
    </row>
    <row r="25" spans="1:20" x14ac:dyDescent="0.25">
      <c r="A25">
        <v>50</v>
      </c>
      <c r="B25" s="2">
        <f>20*LOG(((B14)*B$6)/(B3*(B$17)), 10)</f>
        <v>-4.3833659650020484</v>
      </c>
      <c r="C25" s="2">
        <f t="shared" ref="C25:I25" si="4">20*LOG(((C14)*C$6)/(C3*(C$17)), 10)</f>
        <v>-4.301557115652586</v>
      </c>
      <c r="D25" s="2">
        <f t="shared" si="4"/>
        <v>-4.3859384139232276</v>
      </c>
      <c r="E25" s="2">
        <f t="shared" si="4"/>
        <v>-4.2575202594859123</v>
      </c>
      <c r="F25" s="2">
        <f t="shared" si="4"/>
        <v>-4.3580049106868213</v>
      </c>
      <c r="G25" s="2">
        <f t="shared" si="4"/>
        <v>-4.3444755843126837</v>
      </c>
      <c r="H25" s="2">
        <f t="shared" si="4"/>
        <v>-4.4144764443646842</v>
      </c>
      <c r="I25" s="2">
        <f t="shared" si="4"/>
        <v>-4.3884054260115226</v>
      </c>
      <c r="M25" s="5">
        <v>9.0643700000000004E-3</v>
      </c>
      <c r="N25" s="5">
        <v>9.0669459999999993E-3</v>
      </c>
      <c r="O25" s="5">
        <v>8.9740219999999999E-3</v>
      </c>
      <c r="P25" s="5">
        <v>9.1336160000000007E-3</v>
      </c>
      <c r="Q25" s="5">
        <v>9.0272349999999998E-3</v>
      </c>
      <c r="R25" s="5">
        <v>9.0672630000000008E-3</v>
      </c>
      <c r="S25" s="5">
        <v>8.9673210000000003E-3</v>
      </c>
      <c r="T25" s="5">
        <v>9.020976E-3</v>
      </c>
    </row>
    <row r="26" spans="1:20" x14ac:dyDescent="0.25">
      <c r="A26">
        <v>60</v>
      </c>
      <c r="B26" s="2">
        <f t="shared" ref="B26:I26" si="5">20*LOG(((B15)*B$6)/(B4*(B$17)), 10)</f>
        <v>-1.1531601858074549</v>
      </c>
      <c r="C26" s="2">
        <f t="shared" si="5"/>
        <v>-1.1481163748884406</v>
      </c>
      <c r="D26" s="2">
        <f t="shared" si="5"/>
        <v>-1.1848216218599543</v>
      </c>
      <c r="E26" s="2">
        <f t="shared" si="5"/>
        <v>-1.118164494452734</v>
      </c>
      <c r="F26" s="2">
        <f t="shared" si="5"/>
        <v>-1.1555302529071512</v>
      </c>
      <c r="G26" s="2">
        <f t="shared" si="5"/>
        <v>-1.1791110728715521</v>
      </c>
      <c r="H26" s="2">
        <f t="shared" si="5"/>
        <v>-1.1065350894146828</v>
      </c>
      <c r="I26" s="2">
        <f t="shared" si="5"/>
        <v>-1.1504394359015251</v>
      </c>
      <c r="M26" s="5">
        <v>1.3024218000000001E-2</v>
      </c>
      <c r="N26" s="5">
        <v>1.2944779999999999E-2</v>
      </c>
      <c r="O26" s="5">
        <v>1.2875584000000001E-2</v>
      </c>
      <c r="P26" s="5">
        <v>1.3014032E-2</v>
      </c>
      <c r="Q26" s="5">
        <v>1.294902E-2</v>
      </c>
      <c r="R26" s="5">
        <v>1.2974457E-2</v>
      </c>
      <c r="S26" s="5">
        <v>1.2988507E-2</v>
      </c>
      <c r="T26" s="5">
        <v>1.2982232999999999E-2</v>
      </c>
    </row>
    <row r="27" spans="1:20" x14ac:dyDescent="0.25">
      <c r="A27">
        <v>70</v>
      </c>
      <c r="B27" s="2">
        <f t="shared" ref="B27:I27" si="6">20*LOG(((B16)*B$6)/(B5*(B$17)), 10)</f>
        <v>-0.24919333887108511</v>
      </c>
      <c r="C27" s="2">
        <f t="shared" si="6"/>
        <v>-0.27204386135896991</v>
      </c>
      <c r="D27" s="2">
        <f t="shared" si="6"/>
        <v>-0.27528719760583398</v>
      </c>
      <c r="E27" s="2">
        <f t="shared" si="6"/>
        <v>-0.25132401595469317</v>
      </c>
      <c r="F27" s="2">
        <f t="shared" si="6"/>
        <v>-0.24986371538574445</v>
      </c>
      <c r="G27" s="2">
        <f t="shared" si="6"/>
        <v>-0.28203629166235999</v>
      </c>
      <c r="H27" s="2">
        <f t="shared" si="6"/>
        <v>-0.193020611144198</v>
      </c>
      <c r="I27" s="2">
        <f t="shared" si="6"/>
        <v>-0.24213886627494136</v>
      </c>
      <c r="M27" s="5">
        <v>1.4424350000000001E-2</v>
      </c>
      <c r="N27" s="5">
        <v>1.4290893000000001E-2</v>
      </c>
      <c r="O27" s="5">
        <v>1.4253584E-2</v>
      </c>
      <c r="P27" s="5">
        <v>1.4352011E-2</v>
      </c>
      <c r="Q27" s="5">
        <v>1.4323997E-2</v>
      </c>
      <c r="R27" s="5">
        <v>1.4333532E-2</v>
      </c>
      <c r="S27" s="5">
        <v>1.4381699E-2</v>
      </c>
      <c r="T27" s="5">
        <v>1.4365035E-2</v>
      </c>
    </row>
    <row r="28" spans="1:20" x14ac:dyDescent="0.25">
      <c r="A28">
        <v>100</v>
      </c>
      <c r="B28" s="2">
        <f t="shared" ref="B28:I28" si="7">20*LOG(((B17)*B$6)/(B6*(B$17)), 10)</f>
        <v>0</v>
      </c>
      <c r="C28" s="2">
        <f t="shared" si="7"/>
        <v>0</v>
      </c>
      <c r="D28" s="2">
        <f t="shared" si="7"/>
        <v>0</v>
      </c>
      <c r="E28" s="2">
        <f t="shared" si="7"/>
        <v>0</v>
      </c>
      <c r="F28" s="2">
        <f t="shared" si="7"/>
        <v>0</v>
      </c>
      <c r="G28" s="2">
        <f t="shared" si="7"/>
        <v>0</v>
      </c>
      <c r="H28" s="2">
        <f t="shared" si="7"/>
        <v>0</v>
      </c>
      <c r="I28" s="2">
        <f t="shared" si="7"/>
        <v>0</v>
      </c>
      <c r="M28" s="5">
        <v>1.4813241E-2</v>
      </c>
      <c r="N28" s="5">
        <v>1.4686285E-2</v>
      </c>
      <c r="O28" s="5">
        <v>1.4657122999999999E-2</v>
      </c>
      <c r="P28" s="5">
        <v>1.4721158999999999E-2</v>
      </c>
      <c r="Q28" s="5">
        <v>1.4687189E-2</v>
      </c>
      <c r="R28" s="5">
        <v>1.4738579E-2</v>
      </c>
      <c r="S28" s="5">
        <v>1.4716705E-2</v>
      </c>
      <c r="T28" s="5">
        <v>1.4749207E-2</v>
      </c>
    </row>
    <row r="29" spans="1:20" x14ac:dyDescent="0.25">
      <c r="A29">
        <v>140</v>
      </c>
      <c r="B29" s="2">
        <f t="shared" ref="B29:I29" si="8">20*LOG(((B18)*B$6)/(B7*(B$17)), 10)</f>
        <v>-7.8910496271333216E-2</v>
      </c>
      <c r="C29" s="2">
        <f t="shared" si="8"/>
        <v>-4.6299328558303883E-2</v>
      </c>
      <c r="D29" s="2">
        <f t="shared" si="8"/>
        <v>-5.6989941943878554E-2</v>
      </c>
      <c r="E29" s="2">
        <f t="shared" si="8"/>
        <v>-5.021132491049464E-2</v>
      </c>
      <c r="F29" s="2">
        <f t="shared" si="8"/>
        <v>-7.4983028635805513E-2</v>
      </c>
      <c r="G29" s="2">
        <f t="shared" si="8"/>
        <v>-6.7078100867233703E-2</v>
      </c>
      <c r="H29" s="2">
        <f t="shared" si="8"/>
        <v>-0.12987993679270188</v>
      </c>
      <c r="I29" s="2">
        <f t="shared" si="8"/>
        <v>-8.9128856959793418E-2</v>
      </c>
      <c r="M29" s="5">
        <v>1.4597008E-2</v>
      </c>
      <c r="N29" s="5">
        <v>1.4512327E-2</v>
      </c>
      <c r="O29" s="5">
        <v>1.4472044999999999E-2</v>
      </c>
      <c r="P29" s="5">
        <v>1.4546328000000001E-2</v>
      </c>
      <c r="Q29" s="5">
        <v>1.4474450999999999E-2</v>
      </c>
      <c r="R29" s="5">
        <v>1.4547108E-2</v>
      </c>
      <c r="S29" s="5">
        <v>1.4449838E-2</v>
      </c>
      <c r="T29" s="5">
        <v>1.4521956000000001E-2</v>
      </c>
    </row>
    <row r="30" spans="1:20" x14ac:dyDescent="0.25">
      <c r="A30">
        <v>180</v>
      </c>
      <c r="B30" s="2">
        <f t="shared" ref="B30:I30" si="9">20*LOG(((B19)*B$6)/(B8*(B$17)), 10)</f>
        <v>-0.16956969333597013</v>
      </c>
      <c r="C30" s="2">
        <f t="shared" si="9"/>
        <v>-8.9262424066764628E-2</v>
      </c>
      <c r="D30" s="2">
        <f t="shared" si="9"/>
        <v>-0.12606459533121356</v>
      </c>
      <c r="E30" s="2">
        <f t="shared" si="9"/>
        <v>-9.7106051747267511E-2</v>
      </c>
      <c r="F30" s="2">
        <f t="shared" si="9"/>
        <v>-0.16262926627305624</v>
      </c>
      <c r="G30" s="2">
        <f t="shared" si="9"/>
        <v>-0.14378650662084103</v>
      </c>
      <c r="H30" s="2">
        <f t="shared" si="9"/>
        <v>-0.23056199071025607</v>
      </c>
      <c r="I30" s="2">
        <f t="shared" si="9"/>
        <v>-0.19111332553288757</v>
      </c>
      <c r="M30" s="5">
        <v>1.4355407000000001E-2</v>
      </c>
      <c r="N30" s="5">
        <v>1.4323305E-2</v>
      </c>
      <c r="O30" s="5">
        <v>1.4261582E-2</v>
      </c>
      <c r="P30" s="5">
        <v>1.4355196000000001E-2</v>
      </c>
      <c r="Q30" s="5">
        <v>1.4223028E-2</v>
      </c>
      <c r="R30" s="5">
        <v>1.4308122E-2</v>
      </c>
      <c r="S30" s="5">
        <v>1.4199049E-2</v>
      </c>
      <c r="T30" s="5">
        <v>1.42665E-2</v>
      </c>
    </row>
    <row r="31" spans="1:20" x14ac:dyDescent="0.25">
      <c r="A31">
        <v>210</v>
      </c>
      <c r="B31" s="2">
        <f t="shared" ref="B31:I31" si="10">20*LOG(((B20)*B$6)/(B9*(B$17)), 10)</f>
        <v>-0.53635402943211219</v>
      </c>
      <c r="C31" s="2">
        <f t="shared" si="10"/>
        <v>-0.41314314691712012</v>
      </c>
      <c r="D31" s="2">
        <f t="shared" si="10"/>
        <v>-0.46316844143749036</v>
      </c>
      <c r="E31" s="2">
        <f t="shared" si="10"/>
        <v>-0.41709701519718745</v>
      </c>
      <c r="F31" s="2">
        <f t="shared" si="10"/>
        <v>-0.53419669875873343</v>
      </c>
      <c r="G31" s="2">
        <f t="shared" si="10"/>
        <v>-0.51467711242094072</v>
      </c>
      <c r="H31" s="2">
        <f t="shared" si="10"/>
        <v>-0.58956891026250913</v>
      </c>
      <c r="I31" s="2">
        <f t="shared" si="10"/>
        <v>-0.55359635907011118</v>
      </c>
      <c r="M31" s="5">
        <v>1.3692999000000001E-2</v>
      </c>
      <c r="N31" s="5">
        <v>1.3729943999999999E-2</v>
      </c>
      <c r="O31" s="5">
        <v>1.3651702999999999E-2</v>
      </c>
      <c r="P31" s="5">
        <v>1.3771436E-2</v>
      </c>
      <c r="Q31" s="5">
        <v>1.3557823E-2</v>
      </c>
      <c r="R31" s="5">
        <v>1.3649559E-2</v>
      </c>
      <c r="S31" s="5">
        <v>1.3568452E-2</v>
      </c>
      <c r="T31" s="5">
        <v>1.3603547000000001E-2</v>
      </c>
    </row>
    <row r="32" spans="1:20" x14ac:dyDescent="0.25">
      <c r="A32">
        <v>250</v>
      </c>
      <c r="B32" s="2">
        <f t="shared" ref="B32:I32" si="11">20*LOG(((B21)*B$6)/(B10*(B$17)), 10)</f>
        <v>-2.3062658506217031</v>
      </c>
      <c r="C32" s="2">
        <f t="shared" si="11"/>
        <v>-2.0765501905638568</v>
      </c>
      <c r="D32" s="2">
        <f t="shared" si="11"/>
        <v>-2.1324247655756317</v>
      </c>
      <c r="E32" s="2">
        <f t="shared" si="11"/>
        <v>-2.0460211901807526</v>
      </c>
      <c r="F32" s="2">
        <f t="shared" si="11"/>
        <v>-2.2873942039227431</v>
      </c>
      <c r="G32" s="2">
        <f t="shared" si="11"/>
        <v>-2.2705991787595643</v>
      </c>
      <c r="H32" s="2">
        <f t="shared" si="11"/>
        <v>-2.2867650398910881</v>
      </c>
      <c r="I32" s="2">
        <f t="shared" si="11"/>
        <v>-2.2951020238288349</v>
      </c>
      <c r="M32" s="5">
        <v>1.1085653000000001E-2</v>
      </c>
      <c r="N32" s="5">
        <v>1.1254938000000001E-2</v>
      </c>
      <c r="O32" s="5">
        <v>1.118604E-2</v>
      </c>
      <c r="P32" s="5">
        <v>1.1326849E-2</v>
      </c>
      <c r="Q32" s="5">
        <v>1.0997183000000001E-2</v>
      </c>
      <c r="R32" s="5">
        <v>1.1065683E-2</v>
      </c>
      <c r="S32" s="5">
        <v>1.10778E-2</v>
      </c>
      <c r="T32" s="5">
        <v>1.1040593E-2</v>
      </c>
    </row>
    <row r="33" spans="1:20" x14ac:dyDescent="0.25">
      <c r="M33" s="5">
        <v>1.5236104E-2</v>
      </c>
      <c r="N33" s="5">
        <v>1.5252173000000001E-2</v>
      </c>
      <c r="O33" s="5">
        <v>1.5266293E-2</v>
      </c>
      <c r="P33" s="5">
        <v>1.5246315E-2</v>
      </c>
      <c r="Q33" s="5">
        <v>1.5244584E-2</v>
      </c>
      <c r="R33" s="5">
        <v>1.5280798E-2</v>
      </c>
      <c r="S33" s="5">
        <v>1.5170839E-2</v>
      </c>
      <c r="T33" s="5">
        <v>1.5222276E-2</v>
      </c>
    </row>
    <row r="34" spans="1:20" x14ac:dyDescent="0.25">
      <c r="M34" s="5">
        <v>1.5171677E-2</v>
      </c>
      <c r="N34" s="5">
        <v>1.5217413000000001E-2</v>
      </c>
      <c r="O34" s="5">
        <v>1.520667E-2</v>
      </c>
      <c r="P34" s="5">
        <v>1.5217036999999999E-2</v>
      </c>
      <c r="Q34" s="5">
        <v>1.5179649999999999E-2</v>
      </c>
      <c r="R34" s="5">
        <v>1.5231674000000001E-2</v>
      </c>
      <c r="S34" s="5">
        <v>1.5052294000000001E-2</v>
      </c>
      <c r="T34" s="5">
        <v>1.5144194999999999E-2</v>
      </c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5">
        <v>1.5146035E-2</v>
      </c>
      <c r="N35" s="5">
        <v>1.5205099E-2</v>
      </c>
      <c r="O35" s="5">
        <v>1.5181943999999999E-2</v>
      </c>
      <c r="P35" s="5">
        <v>1.5209390999999999E-2</v>
      </c>
      <c r="Q35" s="5">
        <v>1.5161344E-2</v>
      </c>
      <c r="R35" s="5">
        <v>1.5216284E-2</v>
      </c>
      <c r="S35" s="5">
        <v>1.5039640999999999E-2</v>
      </c>
      <c r="T35" s="5">
        <v>1.5121269999999999E-2</v>
      </c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5">
        <v>1.5163875E-2</v>
      </c>
      <c r="N36" s="5">
        <v>1.5188686999999999E-2</v>
      </c>
      <c r="O36" s="5">
        <v>1.5172201E-2</v>
      </c>
      <c r="P36" s="5">
        <v>1.5193137000000001E-2</v>
      </c>
      <c r="Q36" s="5">
        <v>1.5157591E-2</v>
      </c>
      <c r="R36" s="5">
        <v>1.5198817E-2</v>
      </c>
      <c r="S36" s="5">
        <v>1.5097138E-2</v>
      </c>
      <c r="T36" s="5">
        <v>1.5136060999999999E-2</v>
      </c>
    </row>
    <row r="37" spans="1:20" x14ac:dyDescent="0.25">
      <c r="A37">
        <v>50</v>
      </c>
      <c r="B37" s="1">
        <f t="shared" ref="B37:I44" si="12">M17</f>
        <v>1.5236733000000001E-2</v>
      </c>
      <c r="C37" s="1">
        <f t="shared" si="12"/>
        <v>1.5247976E-2</v>
      </c>
      <c r="D37" s="1">
        <f t="shared" si="12"/>
        <v>1.5263651E-2</v>
      </c>
      <c r="E37" s="1">
        <f t="shared" si="12"/>
        <v>1.5243335E-2</v>
      </c>
      <c r="F37" s="1">
        <f t="shared" si="12"/>
        <v>1.5235904E-2</v>
      </c>
      <c r="G37" s="1">
        <f t="shared" si="12"/>
        <v>1.5271046E-2</v>
      </c>
      <c r="H37" s="1">
        <f t="shared" si="12"/>
        <v>1.5162039E-2</v>
      </c>
      <c r="I37" s="1">
        <f t="shared" si="12"/>
        <v>1.5218290000000001E-2</v>
      </c>
      <c r="M37" s="5">
        <v>1.5156639E-2</v>
      </c>
      <c r="N37" s="5">
        <v>1.5161041E-2</v>
      </c>
      <c r="O37" s="5">
        <v>1.5161274000000001E-2</v>
      </c>
      <c r="P37" s="5">
        <v>1.5161523999999999E-2</v>
      </c>
      <c r="Q37" s="5">
        <v>1.5136408000000001E-2</v>
      </c>
      <c r="R37" s="5">
        <v>1.5169728E-2</v>
      </c>
      <c r="S37" s="5">
        <v>1.5114091E-2</v>
      </c>
      <c r="T37" s="5">
        <v>1.5136393999999999E-2</v>
      </c>
    </row>
    <row r="38" spans="1:20" x14ac:dyDescent="0.25">
      <c r="A38">
        <v>60</v>
      </c>
      <c r="B38" s="1">
        <f t="shared" si="12"/>
        <v>1.5166331E-2</v>
      </c>
      <c r="C38" s="1">
        <f t="shared" si="12"/>
        <v>1.5211479999999999E-2</v>
      </c>
      <c r="D38" s="1">
        <f t="shared" si="12"/>
        <v>1.520092E-2</v>
      </c>
      <c r="E38" s="1">
        <f t="shared" si="12"/>
        <v>1.5212735999999999E-2</v>
      </c>
      <c r="F38" s="1">
        <f t="shared" si="12"/>
        <v>1.5176736E-2</v>
      </c>
      <c r="G38" s="1">
        <f t="shared" si="12"/>
        <v>1.5228396999999999E-2</v>
      </c>
      <c r="H38" s="1">
        <f t="shared" si="12"/>
        <v>1.5049312E-2</v>
      </c>
      <c r="I38" s="1">
        <f t="shared" si="12"/>
        <v>1.5138779E-2</v>
      </c>
      <c r="M38" s="5">
        <v>1.5157466E-2</v>
      </c>
      <c r="N38" s="5">
        <v>1.5153008000000001E-2</v>
      </c>
      <c r="O38" s="5">
        <v>1.5155821E-2</v>
      </c>
      <c r="P38" s="5">
        <v>1.5151454E-2</v>
      </c>
      <c r="Q38" s="5">
        <v>1.5130640000000001E-2</v>
      </c>
      <c r="R38" s="5">
        <v>1.5161526E-2</v>
      </c>
      <c r="S38" s="5">
        <v>1.5122675E-2</v>
      </c>
      <c r="T38" s="5">
        <v>1.5140275999999999E-2</v>
      </c>
    </row>
    <row r="39" spans="1:20" x14ac:dyDescent="0.25">
      <c r="A39">
        <v>70</v>
      </c>
      <c r="B39" s="1">
        <f t="shared" si="12"/>
        <v>1.5146273E-2</v>
      </c>
      <c r="C39" s="1">
        <f t="shared" si="12"/>
        <v>1.5197155E-2</v>
      </c>
      <c r="D39" s="1">
        <f t="shared" si="12"/>
        <v>1.5173644999999999E-2</v>
      </c>
      <c r="E39" s="1">
        <f t="shared" si="12"/>
        <v>1.5204146999999999E-2</v>
      </c>
      <c r="F39" s="1">
        <f t="shared" si="12"/>
        <v>1.5155536000000001E-2</v>
      </c>
      <c r="G39" s="1">
        <f t="shared" si="12"/>
        <v>1.5210652999999999E-2</v>
      </c>
      <c r="H39" s="1">
        <f t="shared" si="12"/>
        <v>1.5032492999999999E-2</v>
      </c>
      <c r="I39" s="1">
        <f t="shared" si="12"/>
        <v>1.5115217E-2</v>
      </c>
      <c r="M39" s="5">
        <v>1.5176616E-2</v>
      </c>
      <c r="N39" s="5">
        <v>1.5162494E-2</v>
      </c>
      <c r="O39" s="5">
        <v>1.5174117000000001E-2</v>
      </c>
      <c r="P39" s="5">
        <v>1.5168083000000001E-2</v>
      </c>
      <c r="Q39" s="5">
        <v>1.515239E-2</v>
      </c>
      <c r="R39" s="5">
        <v>1.5174257999999999E-2</v>
      </c>
      <c r="S39" s="5">
        <v>1.5144104E-2</v>
      </c>
      <c r="T39" s="5">
        <v>1.5160292000000001E-2</v>
      </c>
    </row>
    <row r="40" spans="1:20" x14ac:dyDescent="0.25">
      <c r="A40">
        <v>100</v>
      </c>
      <c r="B40" s="1">
        <f t="shared" si="12"/>
        <v>1.5153569E-2</v>
      </c>
      <c r="C40" s="1">
        <f t="shared" si="12"/>
        <v>1.5186579E-2</v>
      </c>
      <c r="D40" s="1">
        <f t="shared" si="12"/>
        <v>1.5167626999999999E-2</v>
      </c>
      <c r="E40" s="1">
        <f t="shared" si="12"/>
        <v>1.5188925000000001E-2</v>
      </c>
      <c r="F40" s="1">
        <f t="shared" si="12"/>
        <v>1.5146181E-2</v>
      </c>
      <c r="G40" s="1">
        <f t="shared" si="12"/>
        <v>1.5187330000000001E-2</v>
      </c>
      <c r="H40" s="1">
        <f t="shared" si="12"/>
        <v>1.5084584E-2</v>
      </c>
      <c r="I40" s="1">
        <f t="shared" si="12"/>
        <v>1.5125052999999999E-2</v>
      </c>
      <c r="M40" s="5">
        <v>1.5197482E-2</v>
      </c>
      <c r="N40" s="5">
        <v>1.5187213E-2</v>
      </c>
      <c r="O40" s="5">
        <v>1.5198789000000001E-2</v>
      </c>
      <c r="P40" s="5">
        <v>1.5191552000000001E-2</v>
      </c>
      <c r="Q40" s="5">
        <v>1.5175246999999999E-2</v>
      </c>
      <c r="R40" s="5">
        <v>1.5196711E-2</v>
      </c>
      <c r="S40" s="5">
        <v>1.516636E-2</v>
      </c>
      <c r="T40" s="5">
        <v>1.5181052E-2</v>
      </c>
    </row>
    <row r="41" spans="1:20" x14ac:dyDescent="0.25">
      <c r="A41">
        <v>140</v>
      </c>
      <c r="B41" s="1">
        <f t="shared" si="12"/>
        <v>1.5150047999999999E-2</v>
      </c>
      <c r="C41" s="1">
        <f t="shared" si="12"/>
        <v>1.5153241E-2</v>
      </c>
      <c r="D41" s="1">
        <f t="shared" si="12"/>
        <v>1.5153506000000001E-2</v>
      </c>
      <c r="E41" s="1">
        <f t="shared" si="12"/>
        <v>1.5154402000000001E-2</v>
      </c>
      <c r="F41" s="1">
        <f t="shared" si="12"/>
        <v>1.5129050999999999E-2</v>
      </c>
      <c r="G41" s="1">
        <f t="shared" si="12"/>
        <v>1.515727E-2</v>
      </c>
      <c r="H41" s="1">
        <f t="shared" si="12"/>
        <v>1.5102814000000001E-2</v>
      </c>
      <c r="I41" s="1">
        <f t="shared" si="12"/>
        <v>1.5124095000000001E-2</v>
      </c>
      <c r="M41" s="5">
        <v>4.5344929999999999E-2</v>
      </c>
      <c r="N41" s="5">
        <v>4.5506004000000003E-2</v>
      </c>
      <c r="O41" s="5">
        <v>4.5118279999999997E-2</v>
      </c>
      <c r="P41" s="5">
        <v>4.5780871000000001E-2</v>
      </c>
      <c r="Q41" s="5">
        <v>4.5229603E-2</v>
      </c>
      <c r="R41" s="5">
        <v>4.5523020999999997E-2</v>
      </c>
      <c r="S41" s="5">
        <v>4.5150757E-2</v>
      </c>
      <c r="T41" s="5">
        <v>4.5152857999999997E-2</v>
      </c>
    </row>
    <row r="42" spans="1:20" x14ac:dyDescent="0.25">
      <c r="A42">
        <v>180</v>
      </c>
      <c r="B42" s="1">
        <f t="shared" si="12"/>
        <v>1.5148216000000001E-2</v>
      </c>
      <c r="C42" s="1">
        <f t="shared" si="12"/>
        <v>1.5141816000000001E-2</v>
      </c>
      <c r="D42" s="1">
        <f t="shared" si="12"/>
        <v>1.5150232E-2</v>
      </c>
      <c r="E42" s="1">
        <f t="shared" si="12"/>
        <v>1.5140795E-2</v>
      </c>
      <c r="F42" s="1">
        <f t="shared" si="12"/>
        <v>1.5125582E-2</v>
      </c>
      <c r="G42" s="1">
        <f t="shared" si="12"/>
        <v>1.5150376E-2</v>
      </c>
      <c r="H42" s="1">
        <f t="shared" si="12"/>
        <v>1.5110533000000001E-2</v>
      </c>
      <c r="I42" s="1">
        <f t="shared" si="12"/>
        <v>1.5130711E-2</v>
      </c>
      <c r="M42" s="5">
        <v>6.5180778999999994E-2</v>
      </c>
      <c r="N42" s="5">
        <v>6.4951948999999995E-2</v>
      </c>
      <c r="O42" s="5">
        <v>6.4740136000000004E-2</v>
      </c>
      <c r="P42" s="5">
        <v>6.5268255999999997E-2</v>
      </c>
      <c r="Q42" s="5">
        <v>6.4924270000000006E-2</v>
      </c>
      <c r="R42" s="5">
        <v>6.5067068000000006E-2</v>
      </c>
      <c r="S42" s="5">
        <v>6.5270043999999999E-2</v>
      </c>
      <c r="T42" s="5">
        <v>6.4948797000000003E-2</v>
      </c>
    </row>
    <row r="43" spans="1:20" x14ac:dyDescent="0.25">
      <c r="A43">
        <v>210</v>
      </c>
      <c r="B43" s="1">
        <f t="shared" si="12"/>
        <v>1.5164234E-2</v>
      </c>
      <c r="C43" s="1">
        <f t="shared" si="12"/>
        <v>1.5154282999999999E-2</v>
      </c>
      <c r="D43" s="1">
        <f t="shared" si="12"/>
        <v>1.5168979000000001E-2</v>
      </c>
      <c r="E43" s="1">
        <f t="shared" si="12"/>
        <v>1.5160606E-2</v>
      </c>
      <c r="F43" s="1">
        <f t="shared" si="12"/>
        <v>1.5144773E-2</v>
      </c>
      <c r="G43" s="1">
        <f t="shared" si="12"/>
        <v>1.5168229E-2</v>
      </c>
      <c r="H43" s="1">
        <f t="shared" si="12"/>
        <v>1.5138586000000001E-2</v>
      </c>
      <c r="I43" s="1">
        <f t="shared" si="12"/>
        <v>1.5152878E-2</v>
      </c>
      <c r="M43" s="5">
        <v>7.2154916999999999E-2</v>
      </c>
      <c r="N43" s="5">
        <v>7.1703136000000001E-2</v>
      </c>
      <c r="O43" s="5">
        <v>7.1641183999999997E-2</v>
      </c>
      <c r="P43" s="5">
        <v>7.1918719000000006E-2</v>
      </c>
      <c r="Q43" s="5">
        <v>7.1761511E-2</v>
      </c>
      <c r="R43" s="5">
        <v>7.1880862000000004E-2</v>
      </c>
      <c r="S43" s="5">
        <v>7.2305135000000006E-2</v>
      </c>
      <c r="T43" s="5">
        <v>7.1840293999999999E-2</v>
      </c>
    </row>
    <row r="44" spans="1:20" x14ac:dyDescent="0.25">
      <c r="A44">
        <v>250</v>
      </c>
      <c r="B44" s="1">
        <f t="shared" si="12"/>
        <v>1.5188452999999999E-2</v>
      </c>
      <c r="C44" s="1">
        <f t="shared" si="12"/>
        <v>1.5178262E-2</v>
      </c>
      <c r="D44" s="1">
        <f t="shared" si="12"/>
        <v>1.5192898E-2</v>
      </c>
      <c r="E44" s="1">
        <f t="shared" si="12"/>
        <v>1.5182232E-2</v>
      </c>
      <c r="F44" s="1">
        <f t="shared" si="12"/>
        <v>1.5166719E-2</v>
      </c>
      <c r="G44" s="1">
        <f t="shared" si="12"/>
        <v>1.5187846E-2</v>
      </c>
      <c r="H44" s="1">
        <f t="shared" si="12"/>
        <v>1.5164693E-2</v>
      </c>
      <c r="I44" s="1">
        <f t="shared" si="12"/>
        <v>1.5175711999999999E-2</v>
      </c>
      <c r="M44" s="5">
        <v>7.4090860999999994E-2</v>
      </c>
      <c r="N44" s="5">
        <v>7.3657632000000001E-2</v>
      </c>
      <c r="O44" s="5">
        <v>7.3709495E-2</v>
      </c>
      <c r="P44" s="5">
        <v>7.3792576999999998E-2</v>
      </c>
      <c r="Q44" s="5">
        <v>7.3694392999999997E-2</v>
      </c>
      <c r="R44" s="5">
        <v>7.3926032000000003E-2</v>
      </c>
      <c r="S44" s="5">
        <v>7.3964982999999998E-2</v>
      </c>
      <c r="T44" s="5">
        <v>7.3800511999999999E-2</v>
      </c>
    </row>
    <row r="45" spans="1:20" x14ac:dyDescent="0.25">
      <c r="M45" s="5">
        <v>7.3160239000000002E-2</v>
      </c>
      <c r="N45" s="5">
        <v>7.3001541000000003E-2</v>
      </c>
      <c r="O45" s="5">
        <v>7.2938017999999993E-2</v>
      </c>
      <c r="P45" s="5">
        <v>7.3015577999999998E-2</v>
      </c>
      <c r="Q45" s="5">
        <v>7.2813921000000004E-2</v>
      </c>
      <c r="R45" s="5">
        <v>7.3056303000000003E-2</v>
      </c>
      <c r="S45" s="5">
        <v>7.2751150000000001E-2</v>
      </c>
      <c r="T45" s="5">
        <v>7.2818793000000007E-2</v>
      </c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5">
        <v>7.2169929999999993E-2</v>
      </c>
      <c r="N46" s="5">
        <v>7.2348899999999994E-2</v>
      </c>
      <c r="O46" s="5">
        <v>7.2135977000000004E-2</v>
      </c>
      <c r="P46" s="5">
        <v>7.2305522999999997E-2</v>
      </c>
      <c r="Q46" s="5">
        <v>7.1854860000000007E-2</v>
      </c>
      <c r="R46" s="5">
        <v>7.2098575999999998E-2</v>
      </c>
      <c r="S46" s="5">
        <v>7.1734242000000004E-2</v>
      </c>
      <c r="T46" s="5">
        <v>7.1842677999999993E-2</v>
      </c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5">
        <v>6.9071427000000005E-2</v>
      </c>
      <c r="N47" s="5">
        <v>6.9639145999999999E-2</v>
      </c>
      <c r="O47" s="5">
        <v>6.9290257999999993E-2</v>
      </c>
      <c r="P47" s="5">
        <v>6.9607943000000005E-2</v>
      </c>
      <c r="Q47" s="5">
        <v>6.8807080000000007E-2</v>
      </c>
      <c r="R47" s="5">
        <v>6.9009021000000004E-2</v>
      </c>
      <c r="S47" s="5">
        <v>6.8759083999999998E-2</v>
      </c>
      <c r="T47" s="5">
        <v>6.8778566999999999E-2</v>
      </c>
    </row>
    <row r="48" spans="1:20" x14ac:dyDescent="0.25">
      <c r="A48">
        <v>50</v>
      </c>
      <c r="B48" s="1">
        <f t="shared" ref="B48:I55" si="13">M25</f>
        <v>9.0643700000000004E-3</v>
      </c>
      <c r="C48" s="1">
        <f t="shared" si="13"/>
        <v>9.0669459999999993E-3</v>
      </c>
      <c r="D48" s="1">
        <f t="shared" si="13"/>
        <v>8.9740219999999999E-3</v>
      </c>
      <c r="E48" s="1">
        <f t="shared" si="13"/>
        <v>9.1336160000000007E-3</v>
      </c>
      <c r="F48" s="1">
        <f t="shared" si="13"/>
        <v>9.0272349999999998E-3</v>
      </c>
      <c r="G48" s="1">
        <f t="shared" si="13"/>
        <v>9.0672630000000008E-3</v>
      </c>
      <c r="H48" s="1">
        <f t="shared" si="13"/>
        <v>8.9673210000000003E-3</v>
      </c>
      <c r="I48" s="1">
        <f t="shared" si="13"/>
        <v>9.020976E-3</v>
      </c>
      <c r="M48" s="5">
        <v>5.6237672000000002E-2</v>
      </c>
      <c r="N48" s="5">
        <v>5.7407438999999998E-2</v>
      </c>
      <c r="O48" s="5">
        <v>5.7063121000000001E-2</v>
      </c>
      <c r="P48" s="5">
        <v>5.7573866000000001E-2</v>
      </c>
      <c r="Q48" s="5">
        <v>5.6159753E-2</v>
      </c>
      <c r="R48" s="5">
        <v>5.6221116000000002E-2</v>
      </c>
      <c r="S48" s="5">
        <v>5.6448709E-2</v>
      </c>
      <c r="T48" s="5">
        <v>5.6181571999999999E-2</v>
      </c>
    </row>
    <row r="49" spans="1:9" x14ac:dyDescent="0.25">
      <c r="A49">
        <v>60</v>
      </c>
      <c r="B49" s="1">
        <f t="shared" si="13"/>
        <v>1.3024218000000001E-2</v>
      </c>
      <c r="C49" s="1">
        <f t="shared" si="13"/>
        <v>1.2944779999999999E-2</v>
      </c>
      <c r="D49" s="1">
        <f t="shared" si="13"/>
        <v>1.2875584000000001E-2</v>
      </c>
      <c r="E49" s="1">
        <f t="shared" si="13"/>
        <v>1.3014032E-2</v>
      </c>
      <c r="F49" s="1">
        <f t="shared" si="13"/>
        <v>1.294902E-2</v>
      </c>
      <c r="G49" s="1">
        <f t="shared" si="13"/>
        <v>1.2974457E-2</v>
      </c>
      <c r="H49" s="1">
        <f t="shared" si="13"/>
        <v>1.2988507E-2</v>
      </c>
      <c r="I49" s="1">
        <f t="shared" si="13"/>
        <v>1.2982232999999999E-2</v>
      </c>
    </row>
    <row r="50" spans="1:9" x14ac:dyDescent="0.25">
      <c r="A50">
        <v>70</v>
      </c>
      <c r="B50" s="1">
        <f t="shared" si="13"/>
        <v>1.4424350000000001E-2</v>
      </c>
      <c r="C50" s="1">
        <f t="shared" si="13"/>
        <v>1.4290893000000001E-2</v>
      </c>
      <c r="D50" s="1">
        <f t="shared" si="13"/>
        <v>1.4253584E-2</v>
      </c>
      <c r="E50" s="1">
        <f t="shared" si="13"/>
        <v>1.4352011E-2</v>
      </c>
      <c r="F50" s="1">
        <f t="shared" si="13"/>
        <v>1.4323997E-2</v>
      </c>
      <c r="G50" s="1">
        <f t="shared" si="13"/>
        <v>1.4333532E-2</v>
      </c>
      <c r="H50" s="1">
        <f t="shared" si="13"/>
        <v>1.4381699E-2</v>
      </c>
      <c r="I50" s="1">
        <f t="shared" si="13"/>
        <v>1.4365035E-2</v>
      </c>
    </row>
    <row r="51" spans="1:9" x14ac:dyDescent="0.25">
      <c r="A51">
        <v>100</v>
      </c>
      <c r="B51" s="1">
        <f t="shared" si="13"/>
        <v>1.4813241E-2</v>
      </c>
      <c r="C51" s="1">
        <f t="shared" si="13"/>
        <v>1.4686285E-2</v>
      </c>
      <c r="D51" s="1">
        <f t="shared" si="13"/>
        <v>1.4657122999999999E-2</v>
      </c>
      <c r="E51" s="1">
        <f t="shared" si="13"/>
        <v>1.4721158999999999E-2</v>
      </c>
      <c r="F51" s="1">
        <f t="shared" si="13"/>
        <v>1.4687189E-2</v>
      </c>
      <c r="G51" s="1">
        <f t="shared" si="13"/>
        <v>1.4738579E-2</v>
      </c>
      <c r="H51" s="1">
        <f t="shared" si="13"/>
        <v>1.4716705E-2</v>
      </c>
      <c r="I51" s="1">
        <f t="shared" si="13"/>
        <v>1.4749207E-2</v>
      </c>
    </row>
    <row r="52" spans="1:9" x14ac:dyDescent="0.25">
      <c r="A52">
        <v>140</v>
      </c>
      <c r="B52" s="1">
        <f t="shared" si="13"/>
        <v>1.4597008E-2</v>
      </c>
      <c r="C52" s="1">
        <f t="shared" si="13"/>
        <v>1.4512327E-2</v>
      </c>
      <c r="D52" s="1">
        <f t="shared" si="13"/>
        <v>1.4472044999999999E-2</v>
      </c>
      <c r="E52" s="1">
        <f t="shared" si="13"/>
        <v>1.4546328000000001E-2</v>
      </c>
      <c r="F52" s="1">
        <f t="shared" si="13"/>
        <v>1.4474450999999999E-2</v>
      </c>
      <c r="G52" s="1">
        <f t="shared" si="13"/>
        <v>1.4547108E-2</v>
      </c>
      <c r="H52" s="1">
        <f t="shared" si="13"/>
        <v>1.4449838E-2</v>
      </c>
      <c r="I52" s="1">
        <f t="shared" si="13"/>
        <v>1.4521956000000001E-2</v>
      </c>
    </row>
    <row r="53" spans="1:9" x14ac:dyDescent="0.25">
      <c r="A53">
        <v>180</v>
      </c>
      <c r="B53" s="1">
        <f t="shared" si="13"/>
        <v>1.4355407000000001E-2</v>
      </c>
      <c r="C53" s="1">
        <f t="shared" si="13"/>
        <v>1.4323305E-2</v>
      </c>
      <c r="D53" s="1">
        <f t="shared" si="13"/>
        <v>1.4261582E-2</v>
      </c>
      <c r="E53" s="1">
        <f t="shared" si="13"/>
        <v>1.4355196000000001E-2</v>
      </c>
      <c r="F53" s="1">
        <f t="shared" si="13"/>
        <v>1.4223028E-2</v>
      </c>
      <c r="G53" s="1">
        <f t="shared" si="13"/>
        <v>1.4308122E-2</v>
      </c>
      <c r="H53" s="1">
        <f t="shared" si="13"/>
        <v>1.4199049E-2</v>
      </c>
      <c r="I53" s="1">
        <f t="shared" si="13"/>
        <v>1.42665E-2</v>
      </c>
    </row>
    <row r="54" spans="1:9" x14ac:dyDescent="0.25">
      <c r="A54">
        <v>210</v>
      </c>
      <c r="B54" s="1">
        <f t="shared" si="13"/>
        <v>1.3692999000000001E-2</v>
      </c>
      <c r="C54" s="1">
        <f t="shared" si="13"/>
        <v>1.3729943999999999E-2</v>
      </c>
      <c r="D54" s="1">
        <f t="shared" si="13"/>
        <v>1.3651702999999999E-2</v>
      </c>
      <c r="E54" s="1">
        <f t="shared" si="13"/>
        <v>1.3771436E-2</v>
      </c>
      <c r="F54" s="1">
        <f t="shared" si="13"/>
        <v>1.3557823E-2</v>
      </c>
      <c r="G54" s="1">
        <f t="shared" si="13"/>
        <v>1.3649559E-2</v>
      </c>
      <c r="H54" s="1">
        <f t="shared" si="13"/>
        <v>1.3568452E-2</v>
      </c>
      <c r="I54" s="1">
        <f t="shared" si="13"/>
        <v>1.3603547000000001E-2</v>
      </c>
    </row>
    <row r="55" spans="1:9" x14ac:dyDescent="0.25">
      <c r="A55">
        <v>250</v>
      </c>
      <c r="B55" s="1">
        <f t="shared" si="13"/>
        <v>1.1085653000000001E-2</v>
      </c>
      <c r="C55" s="1">
        <f t="shared" si="13"/>
        <v>1.1254938000000001E-2</v>
      </c>
      <c r="D55" s="1">
        <f t="shared" si="13"/>
        <v>1.118604E-2</v>
      </c>
      <c r="E55" s="1">
        <f t="shared" si="13"/>
        <v>1.1326849E-2</v>
      </c>
      <c r="F55" s="1">
        <f t="shared" si="13"/>
        <v>1.0997183000000001E-2</v>
      </c>
      <c r="G55" s="1">
        <f t="shared" si="13"/>
        <v>1.1065683E-2</v>
      </c>
      <c r="H55" s="1">
        <f t="shared" si="13"/>
        <v>1.10778E-2</v>
      </c>
      <c r="I55" s="1">
        <f t="shared" si="13"/>
        <v>1.1040593E-2</v>
      </c>
    </row>
    <row r="57" spans="1:9" x14ac:dyDescent="0.25">
      <c r="A57" s="3" t="s">
        <v>7</v>
      </c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</row>
    <row r="59" spans="1:9" x14ac:dyDescent="0.25">
      <c r="A59">
        <v>50</v>
      </c>
      <c r="B59" s="2">
        <f>20*LOG(((B48)*B$40)/(B37*(B$51)), 10)</f>
        <v>-4.3137878046686735</v>
      </c>
      <c r="C59" s="2">
        <f t="shared" ref="C59:I59" si="14">20*LOG(((C48)*C$40)/(C37*(C$51)), 10)</f>
        <v>-4.2240633731389661</v>
      </c>
      <c r="D59" s="2">
        <f t="shared" si="14"/>
        <v>-4.3160477982967569</v>
      </c>
      <c r="E59" s="2">
        <f t="shared" si="14"/>
        <v>-4.1770442222075692</v>
      </c>
      <c r="F59" s="2">
        <f t="shared" si="14"/>
        <v>-4.2789804075582012</v>
      </c>
      <c r="G59" s="2">
        <f t="shared" si="14"/>
        <v>-4.2673351297772495</v>
      </c>
      <c r="H59" s="2">
        <f t="shared" si="14"/>
        <v>-4.3474427945037588</v>
      </c>
      <c r="I59" s="2">
        <f t="shared" si="14"/>
        <v>-4.3236818812178166</v>
      </c>
    </row>
    <row r="60" spans="1:9" x14ac:dyDescent="0.25">
      <c r="A60">
        <v>60</v>
      </c>
      <c r="B60" s="2">
        <f t="shared" ref="B60:I60" si="15">20*LOG(((B49)*B$40)/(B38*(B$51)), 10)</f>
        <v>-1.1252806188320885</v>
      </c>
      <c r="C60" s="2">
        <f t="shared" si="15"/>
        <v>-1.1105759004766311</v>
      </c>
      <c r="D60" s="2">
        <f t="shared" si="15"/>
        <v>-1.1446805847218608</v>
      </c>
      <c r="E60" s="2">
        <f t="shared" si="15"/>
        <v>-1.0842084831114227</v>
      </c>
      <c r="F60" s="2">
        <f t="shared" si="15"/>
        <v>-1.1115403822388923</v>
      </c>
      <c r="G60" s="2">
        <f t="shared" si="15"/>
        <v>-1.1307836627407211</v>
      </c>
      <c r="H60" s="2">
        <f t="shared" si="15"/>
        <v>-1.0646931980298324</v>
      </c>
      <c r="I60" s="2">
        <f t="shared" si="15"/>
        <v>-1.1162643071372611</v>
      </c>
    </row>
    <row r="61" spans="1:9" x14ac:dyDescent="0.25">
      <c r="A61">
        <v>70</v>
      </c>
      <c r="B61" s="2">
        <f t="shared" ref="B61:I61" si="16">20*LOG(((B50)*B$40)/(B39*(B$51)), 10)</f>
        <v>-0.22689372601925997</v>
      </c>
      <c r="C61" s="2">
        <f t="shared" si="16"/>
        <v>-0.24309847150368813</v>
      </c>
      <c r="D61" s="2">
        <f t="shared" si="16"/>
        <v>-0.24593864107291558</v>
      </c>
      <c r="E61" s="2">
        <f t="shared" si="16"/>
        <v>-0.22928534249159188</v>
      </c>
      <c r="F61" s="2">
        <f t="shared" si="16"/>
        <v>-0.22285240508410203</v>
      </c>
      <c r="G61" s="2">
        <f t="shared" si="16"/>
        <v>-0.25537645036927653</v>
      </c>
      <c r="H61" s="2">
        <f t="shared" si="16"/>
        <v>-0.16996123859615614</v>
      </c>
      <c r="I61" s="2">
        <f t="shared" si="16"/>
        <v>-0.22358927351662772</v>
      </c>
    </row>
    <row r="62" spans="1:9" x14ac:dyDescent="0.25">
      <c r="A62">
        <v>100</v>
      </c>
      <c r="B62" s="2">
        <f t="shared" ref="B62:I62" si="17">20*LOG(((B51)*B$40)/(B40*(B$51)), 10)</f>
        <v>0</v>
      </c>
      <c r="C62" s="2">
        <f t="shared" si="17"/>
        <v>0</v>
      </c>
      <c r="D62" s="2">
        <f t="shared" si="17"/>
        <v>0</v>
      </c>
      <c r="E62" s="2">
        <f t="shared" si="17"/>
        <v>0</v>
      </c>
      <c r="F62" s="2">
        <f t="shared" si="17"/>
        <v>0</v>
      </c>
      <c r="G62" s="2">
        <f t="shared" si="17"/>
        <v>0</v>
      </c>
      <c r="H62" s="2">
        <f t="shared" si="17"/>
        <v>0</v>
      </c>
      <c r="I62" s="2">
        <f t="shared" si="17"/>
        <v>0</v>
      </c>
    </row>
    <row r="63" spans="1:9" x14ac:dyDescent="0.25">
      <c r="A63">
        <v>140</v>
      </c>
      <c r="B63" s="2">
        <f t="shared" ref="B63:I63" si="18">20*LOG(((B52)*B$40)/(B41*(B$51)), 10)</f>
        <v>-0.12570640969228355</v>
      </c>
      <c r="C63" s="2">
        <f t="shared" si="18"/>
        <v>-8.4409458700897402E-2</v>
      </c>
      <c r="D63" s="2">
        <f t="shared" si="18"/>
        <v>-0.10228626736086335</v>
      </c>
      <c r="E63" s="2">
        <f t="shared" si="18"/>
        <v>-8.4007865404430046E-2</v>
      </c>
      <c r="F63" s="2">
        <f t="shared" si="18"/>
        <v>-0.11690255244497878</v>
      </c>
      <c r="G63" s="2">
        <f t="shared" si="18"/>
        <v>-9.6370154143304354E-2</v>
      </c>
      <c r="H63" s="2">
        <f t="shared" si="18"/>
        <v>-0.16944284646234403</v>
      </c>
      <c r="I63" s="2">
        <f t="shared" si="18"/>
        <v>-0.13432091592161011</v>
      </c>
    </row>
    <row r="64" spans="1:9" x14ac:dyDescent="0.25">
      <c r="A64">
        <v>180</v>
      </c>
      <c r="B64" s="2">
        <f t="shared" ref="B64:I64" si="19">20*LOG(((B53)*B$40)/(B42*(B$51)), 10)</f>
        <v>-0.26962273724824837</v>
      </c>
      <c r="C64" s="2">
        <f t="shared" si="19"/>
        <v>-0.19173445396091066</v>
      </c>
      <c r="D64" s="2">
        <f t="shared" si="19"/>
        <v>-0.22765344797917658</v>
      </c>
      <c r="E64" s="2">
        <f t="shared" si="19"/>
        <v>-0.19109037143204205</v>
      </c>
      <c r="F64" s="2">
        <f t="shared" si="19"/>
        <v>-0.26711140988856252</v>
      </c>
      <c r="G64" s="2">
        <f t="shared" si="19"/>
        <v>-0.23629921259233466</v>
      </c>
      <c r="H64" s="2">
        <f t="shared" si="19"/>
        <v>-0.32595544775515517</v>
      </c>
      <c r="I64" s="2">
        <f t="shared" si="19"/>
        <v>-0.29227322373872588</v>
      </c>
    </row>
    <row r="65" spans="1:9" x14ac:dyDescent="0.25">
      <c r="A65">
        <v>210</v>
      </c>
      <c r="B65" s="2">
        <f t="shared" ref="B65:I65" si="20">20*LOG(((B54)*B$40)/(B43*(B$51)), 10)</f>
        <v>-0.68914117382638884</v>
      </c>
      <c r="C65" s="2">
        <f t="shared" si="20"/>
        <v>-0.56637251018880197</v>
      </c>
      <c r="D65" s="2">
        <f t="shared" si="20"/>
        <v>-0.61801222120384069</v>
      </c>
      <c r="E65" s="2">
        <f t="shared" si="20"/>
        <v>-0.56304597820631819</v>
      </c>
      <c r="F65" s="2">
        <f t="shared" si="20"/>
        <v>-0.69416699088578182</v>
      </c>
      <c r="G65" s="2">
        <f t="shared" si="20"/>
        <v>-0.65580881188794571</v>
      </c>
      <c r="H65" s="2">
        <f t="shared" si="20"/>
        <v>-0.73664512741954713</v>
      </c>
      <c r="I65" s="2">
        <f t="shared" si="20"/>
        <v>-0.71829461753334267</v>
      </c>
    </row>
    <row r="66" spans="1:9" x14ac:dyDescent="0.25">
      <c r="A66">
        <v>250</v>
      </c>
      <c r="B66" s="2">
        <f t="shared" ref="B66:I66" si="21">20*LOG(((B55)*B$40)/(B44*(B$51)), 10)</f>
        <v>-2.5377483804243637</v>
      </c>
      <c r="C66" s="2">
        <f t="shared" si="21"/>
        <v>-2.3066187267350524</v>
      </c>
      <c r="D66" s="2">
        <f t="shared" si="21"/>
        <v>-2.3619069305707034</v>
      </c>
      <c r="E66" s="2">
        <f t="shared" si="21"/>
        <v>-2.2728295699639323</v>
      </c>
      <c r="F66" s="2">
        <f t="shared" si="21"/>
        <v>-2.5249145915720357</v>
      </c>
      <c r="G66" s="2">
        <f t="shared" si="21"/>
        <v>-2.4898428813287077</v>
      </c>
      <c r="H66" s="2">
        <f t="shared" si="21"/>
        <v>-2.5131469855600796</v>
      </c>
      <c r="I66" s="2">
        <f t="shared" si="21"/>
        <v>-2.5445688276410356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50</v>
      </c>
      <c r="B70" s="1">
        <f>M33</f>
        <v>1.5236104E-2</v>
      </c>
      <c r="C70" s="1">
        <f t="shared" ref="C70:I70" si="22">N33</f>
        <v>1.5252173000000001E-2</v>
      </c>
      <c r="D70" s="1">
        <f t="shared" si="22"/>
        <v>1.5266293E-2</v>
      </c>
      <c r="E70" s="1">
        <f t="shared" si="22"/>
        <v>1.5246315E-2</v>
      </c>
      <c r="F70" s="1">
        <f t="shared" si="22"/>
        <v>1.5244584E-2</v>
      </c>
      <c r="G70" s="1">
        <f t="shared" si="22"/>
        <v>1.5280798E-2</v>
      </c>
      <c r="H70" s="1">
        <f t="shared" si="22"/>
        <v>1.5170839E-2</v>
      </c>
      <c r="I70" s="1">
        <f t="shared" si="22"/>
        <v>1.5222276E-2</v>
      </c>
    </row>
    <row r="71" spans="1:9" x14ac:dyDescent="0.25">
      <c r="A71">
        <v>60</v>
      </c>
      <c r="B71" s="1">
        <f t="shared" ref="B71:B77" si="23">M34</f>
        <v>1.5171677E-2</v>
      </c>
      <c r="C71" s="1">
        <f t="shared" ref="C71:C77" si="24">N34</f>
        <v>1.5217413000000001E-2</v>
      </c>
      <c r="D71" s="1">
        <f t="shared" ref="D71:D77" si="25">O34</f>
        <v>1.520667E-2</v>
      </c>
      <c r="E71" s="1">
        <f t="shared" ref="E71:E77" si="26">P34</f>
        <v>1.5217036999999999E-2</v>
      </c>
      <c r="F71" s="1">
        <f t="shared" ref="F71:F77" si="27">Q34</f>
        <v>1.5179649999999999E-2</v>
      </c>
      <c r="G71" s="1">
        <f t="shared" ref="G71:G77" si="28">R34</f>
        <v>1.5231674000000001E-2</v>
      </c>
      <c r="H71" s="1">
        <f t="shared" ref="H71:H77" si="29">S34</f>
        <v>1.5052294000000001E-2</v>
      </c>
      <c r="I71" s="1">
        <f t="shared" ref="I71:I77" si="30">T34</f>
        <v>1.5144194999999999E-2</v>
      </c>
    </row>
    <row r="72" spans="1:9" x14ac:dyDescent="0.25">
      <c r="A72">
        <v>70</v>
      </c>
      <c r="B72" s="1">
        <f t="shared" si="23"/>
        <v>1.5146035E-2</v>
      </c>
      <c r="C72" s="1">
        <f t="shared" si="24"/>
        <v>1.5205099E-2</v>
      </c>
      <c r="D72" s="1">
        <f t="shared" si="25"/>
        <v>1.5181943999999999E-2</v>
      </c>
      <c r="E72" s="1">
        <f t="shared" si="26"/>
        <v>1.5209390999999999E-2</v>
      </c>
      <c r="F72" s="1">
        <f t="shared" si="27"/>
        <v>1.5161344E-2</v>
      </c>
      <c r="G72" s="1">
        <f t="shared" si="28"/>
        <v>1.5216284E-2</v>
      </c>
      <c r="H72" s="1">
        <f t="shared" si="29"/>
        <v>1.5039640999999999E-2</v>
      </c>
      <c r="I72" s="1">
        <f t="shared" si="30"/>
        <v>1.5121269999999999E-2</v>
      </c>
    </row>
    <row r="73" spans="1:9" x14ac:dyDescent="0.25">
      <c r="A73">
        <v>100</v>
      </c>
      <c r="B73" s="1">
        <f t="shared" si="23"/>
        <v>1.5163875E-2</v>
      </c>
      <c r="C73" s="1">
        <f t="shared" si="24"/>
        <v>1.5188686999999999E-2</v>
      </c>
      <c r="D73" s="1">
        <f t="shared" si="25"/>
        <v>1.5172201E-2</v>
      </c>
      <c r="E73" s="1">
        <f t="shared" si="26"/>
        <v>1.5193137000000001E-2</v>
      </c>
      <c r="F73" s="1">
        <f t="shared" si="27"/>
        <v>1.5157591E-2</v>
      </c>
      <c r="G73" s="1">
        <f t="shared" si="28"/>
        <v>1.5198817E-2</v>
      </c>
      <c r="H73" s="1">
        <f t="shared" si="29"/>
        <v>1.5097138E-2</v>
      </c>
      <c r="I73" s="1">
        <f t="shared" si="30"/>
        <v>1.5136060999999999E-2</v>
      </c>
    </row>
    <row r="74" spans="1:9" x14ac:dyDescent="0.25">
      <c r="A74">
        <v>140</v>
      </c>
      <c r="B74" s="1">
        <f t="shared" si="23"/>
        <v>1.5156639E-2</v>
      </c>
      <c r="C74" s="1">
        <f t="shared" si="24"/>
        <v>1.5161041E-2</v>
      </c>
      <c r="D74" s="1">
        <f t="shared" si="25"/>
        <v>1.5161274000000001E-2</v>
      </c>
      <c r="E74" s="1">
        <f t="shared" si="26"/>
        <v>1.5161523999999999E-2</v>
      </c>
      <c r="F74" s="1">
        <f t="shared" si="27"/>
        <v>1.5136408000000001E-2</v>
      </c>
      <c r="G74" s="1">
        <f t="shared" si="28"/>
        <v>1.5169728E-2</v>
      </c>
      <c r="H74" s="1">
        <f t="shared" si="29"/>
        <v>1.5114091E-2</v>
      </c>
      <c r="I74" s="1">
        <f t="shared" si="30"/>
        <v>1.5136393999999999E-2</v>
      </c>
    </row>
    <row r="75" spans="1:9" x14ac:dyDescent="0.25">
      <c r="A75">
        <v>180</v>
      </c>
      <c r="B75" s="1">
        <f t="shared" si="23"/>
        <v>1.5157466E-2</v>
      </c>
      <c r="C75" s="1">
        <f t="shared" si="24"/>
        <v>1.5153008000000001E-2</v>
      </c>
      <c r="D75" s="1">
        <f t="shared" si="25"/>
        <v>1.5155821E-2</v>
      </c>
      <c r="E75" s="1">
        <f t="shared" si="26"/>
        <v>1.5151454E-2</v>
      </c>
      <c r="F75" s="1">
        <f t="shared" si="27"/>
        <v>1.5130640000000001E-2</v>
      </c>
      <c r="G75" s="1">
        <f t="shared" si="28"/>
        <v>1.5161526E-2</v>
      </c>
      <c r="H75" s="1">
        <f t="shared" si="29"/>
        <v>1.5122675E-2</v>
      </c>
      <c r="I75" s="1">
        <f t="shared" si="30"/>
        <v>1.5140275999999999E-2</v>
      </c>
    </row>
    <row r="76" spans="1:9" x14ac:dyDescent="0.25">
      <c r="A76">
        <v>210</v>
      </c>
      <c r="B76" s="1">
        <f t="shared" si="23"/>
        <v>1.5176616E-2</v>
      </c>
      <c r="C76" s="1">
        <f t="shared" si="24"/>
        <v>1.5162494E-2</v>
      </c>
      <c r="D76" s="1">
        <f t="shared" si="25"/>
        <v>1.5174117000000001E-2</v>
      </c>
      <c r="E76" s="1">
        <f t="shared" si="26"/>
        <v>1.5168083000000001E-2</v>
      </c>
      <c r="F76" s="1">
        <f t="shared" si="27"/>
        <v>1.515239E-2</v>
      </c>
      <c r="G76" s="1">
        <f t="shared" si="28"/>
        <v>1.5174257999999999E-2</v>
      </c>
      <c r="H76" s="1">
        <f t="shared" si="29"/>
        <v>1.5144104E-2</v>
      </c>
      <c r="I76" s="1">
        <f t="shared" si="30"/>
        <v>1.5160292000000001E-2</v>
      </c>
    </row>
    <row r="77" spans="1:9" x14ac:dyDescent="0.25">
      <c r="A77">
        <v>250</v>
      </c>
      <c r="B77" s="1">
        <f t="shared" si="23"/>
        <v>1.5197482E-2</v>
      </c>
      <c r="C77" s="1">
        <f t="shared" si="24"/>
        <v>1.5187213E-2</v>
      </c>
      <c r="D77" s="1">
        <f t="shared" si="25"/>
        <v>1.5198789000000001E-2</v>
      </c>
      <c r="E77" s="1">
        <f t="shared" si="26"/>
        <v>1.5191552000000001E-2</v>
      </c>
      <c r="F77" s="1">
        <f t="shared" si="27"/>
        <v>1.5175246999999999E-2</v>
      </c>
      <c r="G77" s="1">
        <f t="shared" si="28"/>
        <v>1.5196711E-2</v>
      </c>
      <c r="H77" s="1">
        <f t="shared" si="29"/>
        <v>1.516636E-2</v>
      </c>
      <c r="I77" s="1">
        <f t="shared" si="30"/>
        <v>1.5181052E-2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50</v>
      </c>
      <c r="B81" s="1">
        <f>M41</f>
        <v>4.5344929999999999E-2</v>
      </c>
      <c r="C81" s="1">
        <f t="shared" ref="C81:I81" si="31">N41</f>
        <v>4.5506004000000003E-2</v>
      </c>
      <c r="D81" s="1">
        <f t="shared" si="31"/>
        <v>4.5118279999999997E-2</v>
      </c>
      <c r="E81" s="1">
        <f t="shared" si="31"/>
        <v>4.5780871000000001E-2</v>
      </c>
      <c r="F81" s="1">
        <f t="shared" si="31"/>
        <v>4.5229603E-2</v>
      </c>
      <c r="G81" s="1">
        <f t="shared" si="31"/>
        <v>4.5523020999999997E-2</v>
      </c>
      <c r="H81" s="1">
        <f t="shared" si="31"/>
        <v>4.5150757E-2</v>
      </c>
      <c r="I81" s="1">
        <f t="shared" si="31"/>
        <v>4.5152857999999997E-2</v>
      </c>
    </row>
    <row r="82" spans="1:9" x14ac:dyDescent="0.25">
      <c r="A82">
        <v>60</v>
      </c>
      <c r="B82" s="1">
        <f t="shared" ref="B82:B88" si="32">M42</f>
        <v>6.5180778999999994E-2</v>
      </c>
      <c r="C82" s="1">
        <f t="shared" ref="C82:C88" si="33">N42</f>
        <v>6.4951948999999995E-2</v>
      </c>
      <c r="D82" s="1">
        <f t="shared" ref="D82:D88" si="34">O42</f>
        <v>6.4740136000000004E-2</v>
      </c>
      <c r="E82" s="1">
        <f t="shared" ref="E82:E88" si="35">P42</f>
        <v>6.5268255999999997E-2</v>
      </c>
      <c r="F82" s="1">
        <f t="shared" ref="F82:F88" si="36">Q42</f>
        <v>6.4924270000000006E-2</v>
      </c>
      <c r="G82" s="1">
        <f t="shared" ref="G82:G88" si="37">R42</f>
        <v>6.5067068000000006E-2</v>
      </c>
      <c r="H82" s="1">
        <f t="shared" ref="H82:H88" si="38">S42</f>
        <v>6.5270043999999999E-2</v>
      </c>
      <c r="I82" s="1">
        <f t="shared" ref="I82:I88" si="39">T42</f>
        <v>6.4948797000000003E-2</v>
      </c>
    </row>
    <row r="83" spans="1:9" x14ac:dyDescent="0.25">
      <c r="A83">
        <v>70</v>
      </c>
      <c r="B83" s="1">
        <f t="shared" si="32"/>
        <v>7.2154916999999999E-2</v>
      </c>
      <c r="C83" s="1">
        <f t="shared" si="33"/>
        <v>7.1703136000000001E-2</v>
      </c>
      <c r="D83" s="1">
        <f t="shared" si="34"/>
        <v>7.1641183999999997E-2</v>
      </c>
      <c r="E83" s="1">
        <f t="shared" si="35"/>
        <v>7.1918719000000006E-2</v>
      </c>
      <c r="F83" s="1">
        <f t="shared" si="36"/>
        <v>7.1761511E-2</v>
      </c>
      <c r="G83" s="1">
        <f t="shared" si="37"/>
        <v>7.1880862000000004E-2</v>
      </c>
      <c r="H83" s="1">
        <f t="shared" si="38"/>
        <v>7.2305135000000006E-2</v>
      </c>
      <c r="I83" s="1">
        <f t="shared" si="39"/>
        <v>7.1840293999999999E-2</v>
      </c>
    </row>
    <row r="84" spans="1:9" x14ac:dyDescent="0.25">
      <c r="A84">
        <v>100</v>
      </c>
      <c r="B84" s="1">
        <f t="shared" si="32"/>
        <v>7.4090860999999994E-2</v>
      </c>
      <c r="C84" s="1">
        <f t="shared" si="33"/>
        <v>7.3657632000000001E-2</v>
      </c>
      <c r="D84" s="1">
        <f t="shared" si="34"/>
        <v>7.3709495E-2</v>
      </c>
      <c r="E84" s="1">
        <f t="shared" si="35"/>
        <v>7.3792576999999998E-2</v>
      </c>
      <c r="F84" s="1">
        <f t="shared" si="36"/>
        <v>7.3694392999999997E-2</v>
      </c>
      <c r="G84" s="1">
        <f t="shared" si="37"/>
        <v>7.3926032000000003E-2</v>
      </c>
      <c r="H84" s="1">
        <f t="shared" si="38"/>
        <v>7.3964982999999998E-2</v>
      </c>
      <c r="I84" s="1">
        <f t="shared" si="39"/>
        <v>7.3800511999999999E-2</v>
      </c>
    </row>
    <row r="85" spans="1:9" x14ac:dyDescent="0.25">
      <c r="A85">
        <v>140</v>
      </c>
      <c r="B85" s="1">
        <f t="shared" si="32"/>
        <v>7.3160239000000002E-2</v>
      </c>
      <c r="C85" s="1">
        <f t="shared" si="33"/>
        <v>7.3001541000000003E-2</v>
      </c>
      <c r="D85" s="1">
        <f t="shared" si="34"/>
        <v>7.2938017999999993E-2</v>
      </c>
      <c r="E85" s="1">
        <f t="shared" si="35"/>
        <v>7.3015577999999998E-2</v>
      </c>
      <c r="F85" s="1">
        <f t="shared" si="36"/>
        <v>7.2813921000000004E-2</v>
      </c>
      <c r="G85" s="1">
        <f t="shared" si="37"/>
        <v>7.3056303000000003E-2</v>
      </c>
      <c r="H85" s="1">
        <f t="shared" si="38"/>
        <v>7.2751150000000001E-2</v>
      </c>
      <c r="I85" s="1">
        <f t="shared" si="39"/>
        <v>7.2818793000000007E-2</v>
      </c>
    </row>
    <row r="86" spans="1:9" x14ac:dyDescent="0.25">
      <c r="A86">
        <v>180</v>
      </c>
      <c r="B86" s="1">
        <f t="shared" si="32"/>
        <v>7.2169929999999993E-2</v>
      </c>
      <c r="C86" s="1">
        <f t="shared" si="33"/>
        <v>7.2348899999999994E-2</v>
      </c>
      <c r="D86" s="1">
        <f t="shared" si="34"/>
        <v>7.2135977000000004E-2</v>
      </c>
      <c r="E86" s="1">
        <f t="shared" si="35"/>
        <v>7.2305522999999997E-2</v>
      </c>
      <c r="F86" s="1">
        <f t="shared" si="36"/>
        <v>7.1854860000000007E-2</v>
      </c>
      <c r="G86" s="1">
        <f t="shared" si="37"/>
        <v>7.2098575999999998E-2</v>
      </c>
      <c r="H86" s="1">
        <f t="shared" si="38"/>
        <v>7.1734242000000004E-2</v>
      </c>
      <c r="I86" s="1">
        <f t="shared" si="39"/>
        <v>7.1842677999999993E-2</v>
      </c>
    </row>
    <row r="87" spans="1:9" x14ac:dyDescent="0.25">
      <c r="A87">
        <v>210</v>
      </c>
      <c r="B87" s="1">
        <f t="shared" si="32"/>
        <v>6.9071427000000005E-2</v>
      </c>
      <c r="C87" s="1">
        <f t="shared" si="33"/>
        <v>6.9639145999999999E-2</v>
      </c>
      <c r="D87" s="1">
        <f t="shared" si="34"/>
        <v>6.9290257999999993E-2</v>
      </c>
      <c r="E87" s="1">
        <f t="shared" si="35"/>
        <v>6.9607943000000005E-2</v>
      </c>
      <c r="F87" s="1">
        <f t="shared" si="36"/>
        <v>6.8807080000000007E-2</v>
      </c>
      <c r="G87" s="1">
        <f t="shared" si="37"/>
        <v>6.9009021000000004E-2</v>
      </c>
      <c r="H87" s="1">
        <f t="shared" si="38"/>
        <v>6.8759083999999998E-2</v>
      </c>
      <c r="I87" s="1">
        <f t="shared" si="39"/>
        <v>6.8778566999999999E-2</v>
      </c>
    </row>
    <row r="88" spans="1:9" x14ac:dyDescent="0.25">
      <c r="A88">
        <v>250</v>
      </c>
      <c r="B88" s="1">
        <f t="shared" si="32"/>
        <v>5.6237672000000002E-2</v>
      </c>
      <c r="C88" s="1">
        <f t="shared" si="33"/>
        <v>5.7407438999999998E-2</v>
      </c>
      <c r="D88" s="1">
        <f t="shared" si="34"/>
        <v>5.7063121000000001E-2</v>
      </c>
      <c r="E88" s="1">
        <f t="shared" si="35"/>
        <v>5.7573866000000001E-2</v>
      </c>
      <c r="F88" s="1">
        <f t="shared" si="36"/>
        <v>5.6159753E-2</v>
      </c>
      <c r="G88" s="1">
        <f t="shared" si="37"/>
        <v>5.6221116000000002E-2</v>
      </c>
      <c r="H88" s="1">
        <f t="shared" si="38"/>
        <v>5.6448709E-2</v>
      </c>
      <c r="I88" s="1">
        <f t="shared" si="39"/>
        <v>5.6181571999999999E-2</v>
      </c>
    </row>
    <row r="90" spans="1:9" x14ac:dyDescent="0.25">
      <c r="A90" s="3" t="s">
        <v>10</v>
      </c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50</v>
      </c>
      <c r="B92" s="2">
        <f>20*LOG(((B81/5)*B$73)/(B70*(B$84/5)), 10)</f>
        <v>-4.3059927714467037</v>
      </c>
      <c r="C92" s="2">
        <f t="shared" ref="C92:I92" si="40">20*LOG(((C81/5)*C$73)/(C70*(C$84/5)), 10)</f>
        <v>-4.2192108448668151</v>
      </c>
      <c r="D92" s="2">
        <f t="shared" si="40"/>
        <v>-4.3171181292117273</v>
      </c>
      <c r="E92" s="2">
        <f t="shared" si="40"/>
        <v>-4.1769212092460917</v>
      </c>
      <c r="F92" s="2">
        <f t="shared" si="40"/>
        <v>-4.2899412740379761</v>
      </c>
      <c r="G92" s="2">
        <f t="shared" si="40"/>
        <v>-4.2580513945709493</v>
      </c>
      <c r="H92" s="2">
        <f t="shared" si="40"/>
        <v>-4.3295220045492826</v>
      </c>
      <c r="I92" s="2">
        <f t="shared" si="40"/>
        <v>-4.3168170566001605</v>
      </c>
    </row>
    <row r="93" spans="1:9" x14ac:dyDescent="0.25">
      <c r="A93">
        <v>60</v>
      </c>
      <c r="B93" s="2">
        <f t="shared" ref="B93:I93" si="41">20*LOG(((B82/5)*B$73)/(B71*(B$84/5)), 10)</f>
        <v>-1.117369749918131</v>
      </c>
      <c r="C93" s="2">
        <f t="shared" si="41"/>
        <v>-1.1089232068825172</v>
      </c>
      <c r="D93" s="2">
        <f t="shared" si="41"/>
        <v>-1.1467072444984014</v>
      </c>
      <c r="E93" s="2">
        <f t="shared" si="41"/>
        <v>-1.0798662290820142</v>
      </c>
      <c r="F93" s="2">
        <f t="shared" si="41"/>
        <v>-1.1131788937985507</v>
      </c>
      <c r="G93" s="2">
        <f t="shared" si="41"/>
        <v>-1.1274801738195626</v>
      </c>
      <c r="H93" s="2">
        <f t="shared" si="41"/>
        <v>-1.0604064753410176</v>
      </c>
      <c r="I93" s="2">
        <f t="shared" si="41"/>
        <v>-1.1144317438652527</v>
      </c>
    </row>
    <row r="94" spans="1:9" x14ac:dyDescent="0.25">
      <c r="A94">
        <v>70</v>
      </c>
      <c r="B94" s="2">
        <f t="shared" ref="B94:I94" si="42">20*LOG(((B83/5)*B$73)/(B72*(B$84/5)), 10)</f>
        <v>-0.2197494109655321</v>
      </c>
      <c r="C94" s="2">
        <f t="shared" si="42"/>
        <v>-0.24297244113198485</v>
      </c>
      <c r="D94" s="2">
        <f t="shared" si="42"/>
        <v>-0.25278957236968025</v>
      </c>
      <c r="E94" s="2">
        <f t="shared" si="42"/>
        <v>-0.23270209397314939</v>
      </c>
      <c r="F94" s="2">
        <f t="shared" si="42"/>
        <v>-0.23300777827195523</v>
      </c>
      <c r="G94" s="2">
        <f t="shared" si="42"/>
        <v>-0.25365877759214905</v>
      </c>
      <c r="H94" s="2">
        <f t="shared" si="42"/>
        <v>-0.16399730486046035</v>
      </c>
      <c r="I94" s="2">
        <f t="shared" si="42"/>
        <v>-0.2253334517126579</v>
      </c>
    </row>
    <row r="95" spans="1:9" x14ac:dyDescent="0.25">
      <c r="A95">
        <v>100</v>
      </c>
      <c r="B95" s="2">
        <f t="shared" ref="B95:I95" si="43">20*LOG(((B84/5)*B$73)/(B73*(B$84/5)), 10)</f>
        <v>0</v>
      </c>
      <c r="C95" s="2">
        <f t="shared" si="43"/>
        <v>0</v>
      </c>
      <c r="D95" s="2">
        <f t="shared" si="43"/>
        <v>0</v>
      </c>
      <c r="E95" s="2">
        <f t="shared" si="43"/>
        <v>0</v>
      </c>
      <c r="F95" s="2">
        <f t="shared" si="43"/>
        <v>0</v>
      </c>
      <c r="G95" s="2">
        <f t="shared" si="43"/>
        <v>0</v>
      </c>
      <c r="H95" s="2">
        <f t="shared" si="43"/>
        <v>0</v>
      </c>
      <c r="I95" s="2">
        <f t="shared" si="43"/>
        <v>0</v>
      </c>
    </row>
    <row r="96" spans="1:9" x14ac:dyDescent="0.25">
      <c r="A96">
        <v>140</v>
      </c>
      <c r="B96" s="2">
        <f t="shared" ref="B96:I96" si="44">20*LOG(((B85/5)*B$73)/(B74*(B$84/5)), 10)</f>
        <v>-0.10564474203359993</v>
      </c>
      <c r="C96" s="2">
        <f t="shared" si="44"/>
        <v>-6.1890292603060698E-2</v>
      </c>
      <c r="D96" s="2">
        <f t="shared" si="44"/>
        <v>-8.5131740292791996E-2</v>
      </c>
      <c r="E96" s="2">
        <f t="shared" si="44"/>
        <v>-7.3851067737298451E-2</v>
      </c>
      <c r="F96" s="2">
        <f t="shared" si="44"/>
        <v>-9.2253382175610743E-2</v>
      </c>
      <c r="G96" s="2">
        <f t="shared" si="44"/>
        <v>-8.6154254384040257E-2</v>
      </c>
      <c r="H96" s="2">
        <f t="shared" si="44"/>
        <v>-0.15347413763883522</v>
      </c>
      <c r="I96" s="2">
        <f t="shared" si="44"/>
        <v>-0.11650906624236131</v>
      </c>
    </row>
    <row r="97" spans="1:9" x14ac:dyDescent="0.25">
      <c r="A97">
        <v>180</v>
      </c>
      <c r="B97" s="2">
        <f t="shared" ref="B97:I97" si="45">20*LOG(((B86/5)*B$73)/(B75*(B$84/5)), 10)</f>
        <v>-0.22449529204637955</v>
      </c>
      <c r="C97" s="2">
        <f t="shared" si="45"/>
        <v>-0.13528880584591779</v>
      </c>
      <c r="D97" s="2">
        <f t="shared" si="45"/>
        <v>-0.17804794677295219</v>
      </c>
      <c r="E97" s="2">
        <f t="shared" si="45"/>
        <v>-0.1529612596968089</v>
      </c>
      <c r="F97" s="2">
        <f t="shared" si="45"/>
        <v>-0.20410825134418134</v>
      </c>
      <c r="G97" s="2">
        <f t="shared" si="45"/>
        <v>-0.1960767570181251</v>
      </c>
      <c r="H97" s="2">
        <f t="shared" si="45"/>
        <v>-0.28067284408678389</v>
      </c>
      <c r="I97" s="2">
        <f t="shared" si="45"/>
        <v>-0.23595570059024087</v>
      </c>
    </row>
    <row r="98" spans="1:9" x14ac:dyDescent="0.25">
      <c r="A98">
        <v>210</v>
      </c>
      <c r="B98" s="2">
        <f t="shared" ref="B98:I98" si="46">20*LOG(((B87/5)*B$73)/(B76*(B$84/5)), 10)</f>
        <v>-0.6166192623551684</v>
      </c>
      <c r="C98" s="2">
        <f t="shared" si="46"/>
        <v>-0.47229451223332464</v>
      </c>
      <c r="D98" s="2">
        <f t="shared" si="46"/>
        <v>-0.53812196296711412</v>
      </c>
      <c r="E98" s="2">
        <f t="shared" si="46"/>
        <v>-0.4927423918878735</v>
      </c>
      <c r="F98" s="2">
        <f t="shared" si="46"/>
        <v>-0.59304547662126483</v>
      </c>
      <c r="G98" s="2">
        <f t="shared" si="46"/>
        <v>-0.58378415131242845</v>
      </c>
      <c r="H98" s="2">
        <f t="shared" si="46"/>
        <v>-0.6609007577346937</v>
      </c>
      <c r="I98" s="2">
        <f t="shared" si="46"/>
        <v>-0.62601897357086767</v>
      </c>
    </row>
    <row r="99" spans="1:9" x14ac:dyDescent="0.25">
      <c r="A99">
        <v>250</v>
      </c>
      <c r="B99" s="2">
        <f t="shared" ref="B99:I99" si="47">20*LOG(((B88/5)*B$73)/(B77*(B$84/5)), 10)</f>
        <v>-2.4139749832506192</v>
      </c>
      <c r="C99" s="2">
        <f t="shared" si="47"/>
        <v>-2.1641486232040261</v>
      </c>
      <c r="D99" s="2">
        <f t="shared" si="47"/>
        <v>-2.23856625743537</v>
      </c>
      <c r="E99" s="2">
        <f t="shared" si="47"/>
        <v>-2.1548395003621081</v>
      </c>
      <c r="F99" s="2">
        <f t="shared" si="47"/>
        <v>-2.3702968275450056</v>
      </c>
      <c r="G99" s="2">
        <f t="shared" si="47"/>
        <v>-2.3767550453044803</v>
      </c>
      <c r="H99" s="2">
        <f t="shared" si="47"/>
        <v>-2.3871776697894758</v>
      </c>
      <c r="I99" s="2">
        <f t="shared" si="47"/>
        <v>-2.3950897290944426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25:I32">
    <cfRule type="cellIs" dxfId="11" priority="7" operator="lessThan">
      <formula>-5.5</formula>
    </cfRule>
  </conditionalFormatting>
  <conditionalFormatting sqref="B25:I32">
    <cfRule type="cellIs" dxfId="10" priority="8" operator="greaterThan">
      <formula>0.5</formula>
    </cfRule>
  </conditionalFormatting>
  <conditionalFormatting sqref="B26:I26 B31:I31">
    <cfRule type="cellIs" dxfId="9" priority="6" operator="lessThan">
      <formula>-2</formula>
    </cfRule>
  </conditionalFormatting>
  <conditionalFormatting sqref="B27:I30">
    <cfRule type="cellIs" dxfId="8" priority="5" operator="lessThan">
      <formula>-0.5</formula>
    </cfRule>
  </conditionalFormatting>
  <conditionalFormatting sqref="B59:I66">
    <cfRule type="cellIs" dxfId="7" priority="11" operator="lessThan">
      <formula>-5.5</formula>
    </cfRule>
  </conditionalFormatting>
  <conditionalFormatting sqref="B59:I66">
    <cfRule type="cellIs" dxfId="6" priority="12" operator="greaterThan">
      <formula>0.5</formula>
    </cfRule>
  </conditionalFormatting>
  <conditionalFormatting sqref="B60:I60 B65:I65">
    <cfRule type="cellIs" dxfId="5" priority="10" operator="lessThan">
      <formula>-2</formula>
    </cfRule>
  </conditionalFormatting>
  <conditionalFormatting sqref="B61:I64">
    <cfRule type="cellIs" dxfId="4" priority="9" operator="lessThan">
      <formula>-0.5</formula>
    </cfRule>
  </conditionalFormatting>
  <conditionalFormatting sqref="B92:I99">
    <cfRule type="cellIs" dxfId="3" priority="3" operator="lessThan">
      <formula>-5.5</formula>
    </cfRule>
  </conditionalFormatting>
  <conditionalFormatting sqref="B92:I99">
    <cfRule type="cellIs" dxfId="2" priority="4" operator="greaterThan">
      <formula>0.5</formula>
    </cfRule>
  </conditionalFormatting>
  <conditionalFormatting sqref="B93:I93 B98:I98">
    <cfRule type="cellIs" dxfId="1" priority="2" operator="lessThan">
      <formula>-2</formula>
    </cfRule>
  </conditionalFormatting>
  <conditionalFormatting sqref="B94:I97">
    <cfRule type="cellIs" dxfId="0" priority="1" operator="lessThan">
      <formula>-0.5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2026-04-24T10:24:50Z</dcterms:modified>
</cp:coreProperties>
</file>
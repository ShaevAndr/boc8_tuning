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боц8\"/>
    </mc:Choice>
  </mc:AlternateContent>
  <xr:revisionPtr revIDLastSave="0" documentId="8_{FF13D059-A901-48C0-B328-FD67568B48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H94" i="1" s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H96" i="1" s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H98" i="1" s="1"/>
  <c r="I87" i="1"/>
  <c r="B88" i="1"/>
  <c r="C88" i="1"/>
  <c r="D88" i="1"/>
  <c r="E88" i="1"/>
  <c r="F88" i="1"/>
  <c r="G88" i="1"/>
  <c r="H88" i="1"/>
  <c r="I88" i="1"/>
  <c r="C81" i="1"/>
  <c r="D81" i="1"/>
  <c r="E81" i="1"/>
  <c r="F81" i="1"/>
  <c r="G81" i="1"/>
  <c r="H81" i="1"/>
  <c r="I81" i="1"/>
  <c r="I92" i="1" s="1"/>
  <c r="B81" i="1"/>
  <c r="B49" i="1"/>
  <c r="C49" i="1"/>
  <c r="D49" i="1"/>
  <c r="E49" i="1"/>
  <c r="F49" i="1"/>
  <c r="G49" i="1"/>
  <c r="H49" i="1"/>
  <c r="I49" i="1"/>
  <c r="B50" i="1"/>
  <c r="C50" i="1"/>
  <c r="D50" i="1"/>
  <c r="D61" i="1" s="1"/>
  <c r="E50" i="1"/>
  <c r="F50" i="1"/>
  <c r="G50" i="1"/>
  <c r="H50" i="1"/>
  <c r="I50" i="1"/>
  <c r="B51" i="1"/>
  <c r="C51" i="1"/>
  <c r="D51" i="1"/>
  <c r="D62" i="1" s="1"/>
  <c r="E51" i="1"/>
  <c r="F51" i="1"/>
  <c r="G51" i="1"/>
  <c r="H51" i="1"/>
  <c r="I51" i="1"/>
  <c r="B52" i="1"/>
  <c r="C52" i="1"/>
  <c r="D52" i="1"/>
  <c r="D63" i="1" s="1"/>
  <c r="E52" i="1"/>
  <c r="F52" i="1"/>
  <c r="G52" i="1"/>
  <c r="H52" i="1"/>
  <c r="I52" i="1"/>
  <c r="B53" i="1"/>
  <c r="C53" i="1"/>
  <c r="D53" i="1"/>
  <c r="D64" i="1" s="1"/>
  <c r="E53" i="1"/>
  <c r="F53" i="1"/>
  <c r="G53" i="1"/>
  <c r="H53" i="1"/>
  <c r="I53" i="1"/>
  <c r="B54" i="1"/>
  <c r="C54" i="1"/>
  <c r="D54" i="1"/>
  <c r="D65" i="1" s="1"/>
  <c r="E54" i="1"/>
  <c r="F54" i="1"/>
  <c r="G54" i="1"/>
  <c r="H54" i="1"/>
  <c r="I54" i="1"/>
  <c r="B55" i="1"/>
  <c r="C55" i="1"/>
  <c r="D55" i="1"/>
  <c r="D66" i="1" s="1"/>
  <c r="E55" i="1"/>
  <c r="F55" i="1"/>
  <c r="G55" i="1"/>
  <c r="H55" i="1"/>
  <c r="I55" i="1"/>
  <c r="C48" i="1"/>
  <c r="D48" i="1"/>
  <c r="E48" i="1"/>
  <c r="F48" i="1"/>
  <c r="F59" i="1" s="1"/>
  <c r="G48" i="1"/>
  <c r="H48" i="1"/>
  <c r="I48" i="1"/>
  <c r="B48" i="1"/>
  <c r="H21" i="1"/>
  <c r="G21" i="1"/>
  <c r="F21" i="1"/>
  <c r="F32" i="1" s="1"/>
  <c r="E21" i="1"/>
  <c r="D21" i="1"/>
  <c r="B21" i="1"/>
  <c r="C21" i="1"/>
  <c r="C16" i="1"/>
  <c r="B15" i="1"/>
  <c r="C15" i="1"/>
  <c r="D15" i="1"/>
  <c r="E15" i="1"/>
  <c r="F15" i="1"/>
  <c r="G15" i="1"/>
  <c r="H15" i="1"/>
  <c r="I15" i="1"/>
  <c r="B16" i="1"/>
  <c r="D16" i="1"/>
  <c r="E16" i="1"/>
  <c r="F16" i="1"/>
  <c r="G16" i="1"/>
  <c r="H16" i="1"/>
  <c r="H27" i="1" s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H29" i="1" s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C14" i="1"/>
  <c r="D14" i="1"/>
  <c r="E14" i="1"/>
  <c r="E25" i="1" s="1"/>
  <c r="F14" i="1"/>
  <c r="G14" i="1"/>
  <c r="H14" i="1"/>
  <c r="I14" i="1"/>
  <c r="B14" i="1"/>
  <c r="B3" i="1"/>
  <c r="B27" i="1"/>
  <c r="B31" i="1"/>
  <c r="B25" i="1"/>
  <c r="B71" i="1"/>
  <c r="B93" i="1" s="1"/>
  <c r="C71" i="1"/>
  <c r="D71" i="1"/>
  <c r="E71" i="1"/>
  <c r="F71" i="1"/>
  <c r="F93" i="1" s="1"/>
  <c r="G71" i="1"/>
  <c r="H71" i="1"/>
  <c r="I71" i="1"/>
  <c r="B72" i="1"/>
  <c r="B94" i="1" s="1"/>
  <c r="C72" i="1"/>
  <c r="D72" i="1"/>
  <c r="E72" i="1"/>
  <c r="F72" i="1"/>
  <c r="F94" i="1" s="1"/>
  <c r="G72" i="1"/>
  <c r="H72" i="1"/>
  <c r="I72" i="1"/>
  <c r="B73" i="1"/>
  <c r="B95" i="1" s="1"/>
  <c r="C73" i="1"/>
  <c r="D73" i="1"/>
  <c r="E73" i="1"/>
  <c r="F73" i="1"/>
  <c r="F95" i="1" s="1"/>
  <c r="G73" i="1"/>
  <c r="H73" i="1"/>
  <c r="I73" i="1"/>
  <c r="B74" i="1"/>
  <c r="B96" i="1" s="1"/>
  <c r="C74" i="1"/>
  <c r="D74" i="1"/>
  <c r="E74" i="1"/>
  <c r="F74" i="1"/>
  <c r="F96" i="1" s="1"/>
  <c r="G74" i="1"/>
  <c r="H74" i="1"/>
  <c r="I74" i="1"/>
  <c r="B75" i="1"/>
  <c r="B97" i="1" s="1"/>
  <c r="C75" i="1"/>
  <c r="D75" i="1"/>
  <c r="E75" i="1"/>
  <c r="F75" i="1"/>
  <c r="F97" i="1" s="1"/>
  <c r="G75" i="1"/>
  <c r="H75" i="1"/>
  <c r="I75" i="1"/>
  <c r="B76" i="1"/>
  <c r="B98" i="1" s="1"/>
  <c r="C76" i="1"/>
  <c r="D76" i="1"/>
  <c r="E76" i="1"/>
  <c r="F76" i="1"/>
  <c r="F98" i="1" s="1"/>
  <c r="G76" i="1"/>
  <c r="H76" i="1"/>
  <c r="I76" i="1"/>
  <c r="B77" i="1"/>
  <c r="B99" i="1" s="1"/>
  <c r="C77" i="1"/>
  <c r="D77" i="1"/>
  <c r="E77" i="1"/>
  <c r="F77" i="1"/>
  <c r="F99" i="1" s="1"/>
  <c r="G77" i="1"/>
  <c r="H77" i="1"/>
  <c r="I77" i="1"/>
  <c r="C70" i="1"/>
  <c r="C92" i="1" s="1"/>
  <c r="D70" i="1"/>
  <c r="E70" i="1"/>
  <c r="F70" i="1"/>
  <c r="G70" i="1"/>
  <c r="G92" i="1" s="1"/>
  <c r="H70" i="1"/>
  <c r="I70" i="1"/>
  <c r="B70" i="1"/>
  <c r="I44" i="1"/>
  <c r="I66" i="1" s="1"/>
  <c r="H44" i="1"/>
  <c r="G44" i="1"/>
  <c r="G66" i="1" s="1"/>
  <c r="F44" i="1"/>
  <c r="F66" i="1" s="1"/>
  <c r="E44" i="1"/>
  <c r="E66" i="1" s="1"/>
  <c r="D44" i="1"/>
  <c r="C44" i="1"/>
  <c r="C66" i="1" s="1"/>
  <c r="B44" i="1"/>
  <c r="B66" i="1" s="1"/>
  <c r="I43" i="1"/>
  <c r="I65" i="1" s="1"/>
  <c r="H43" i="1"/>
  <c r="G43" i="1"/>
  <c r="G65" i="1" s="1"/>
  <c r="F43" i="1"/>
  <c r="F65" i="1" s="1"/>
  <c r="E43" i="1"/>
  <c r="E65" i="1" s="1"/>
  <c r="D43" i="1"/>
  <c r="C43" i="1"/>
  <c r="C65" i="1" s="1"/>
  <c r="B43" i="1"/>
  <c r="B65" i="1" s="1"/>
  <c r="I42" i="1"/>
  <c r="I64" i="1" s="1"/>
  <c r="H42" i="1"/>
  <c r="G42" i="1"/>
  <c r="G64" i="1" s="1"/>
  <c r="F42" i="1"/>
  <c r="F64" i="1" s="1"/>
  <c r="E42" i="1"/>
  <c r="E64" i="1" s="1"/>
  <c r="D42" i="1"/>
  <c r="C42" i="1"/>
  <c r="C64" i="1" s="1"/>
  <c r="B42" i="1"/>
  <c r="B64" i="1" s="1"/>
  <c r="I41" i="1"/>
  <c r="I63" i="1" s="1"/>
  <c r="H41" i="1"/>
  <c r="G41" i="1"/>
  <c r="G63" i="1" s="1"/>
  <c r="F41" i="1"/>
  <c r="F63" i="1" s="1"/>
  <c r="E41" i="1"/>
  <c r="E63" i="1" s="1"/>
  <c r="D41" i="1"/>
  <c r="C41" i="1"/>
  <c r="C63" i="1" s="1"/>
  <c r="B41" i="1"/>
  <c r="B63" i="1" s="1"/>
  <c r="I40" i="1"/>
  <c r="I62" i="1" s="1"/>
  <c r="H40" i="1"/>
  <c r="G40" i="1"/>
  <c r="G62" i="1" s="1"/>
  <c r="F40" i="1"/>
  <c r="F62" i="1" s="1"/>
  <c r="E40" i="1"/>
  <c r="E62" i="1" s="1"/>
  <c r="D40" i="1"/>
  <c r="C40" i="1"/>
  <c r="C62" i="1" s="1"/>
  <c r="B40" i="1"/>
  <c r="B62" i="1" s="1"/>
  <c r="I39" i="1"/>
  <c r="I61" i="1" s="1"/>
  <c r="H39" i="1"/>
  <c r="G39" i="1"/>
  <c r="G61" i="1" s="1"/>
  <c r="F39" i="1"/>
  <c r="F61" i="1" s="1"/>
  <c r="E39" i="1"/>
  <c r="E61" i="1" s="1"/>
  <c r="D39" i="1"/>
  <c r="C39" i="1"/>
  <c r="C61" i="1" s="1"/>
  <c r="B39" i="1"/>
  <c r="B61" i="1" s="1"/>
  <c r="I38" i="1"/>
  <c r="H38" i="1"/>
  <c r="G38" i="1"/>
  <c r="G60" i="1" s="1"/>
  <c r="F38" i="1"/>
  <c r="F60" i="1" s="1"/>
  <c r="E38" i="1"/>
  <c r="D38" i="1"/>
  <c r="C38" i="1"/>
  <c r="B38" i="1"/>
  <c r="B60" i="1" s="1"/>
  <c r="I37" i="1"/>
  <c r="H37" i="1"/>
  <c r="G37" i="1"/>
  <c r="F37" i="1"/>
  <c r="E37" i="1"/>
  <c r="D37" i="1"/>
  <c r="C37" i="1"/>
  <c r="B37" i="1"/>
  <c r="I10" i="1"/>
  <c r="H10" i="1"/>
  <c r="G10" i="1"/>
  <c r="F10" i="1"/>
  <c r="E10" i="1"/>
  <c r="E32" i="1" s="1"/>
  <c r="D10" i="1"/>
  <c r="D32" i="1" s="1"/>
  <c r="C10" i="1"/>
  <c r="B10" i="1"/>
  <c r="I9" i="1"/>
  <c r="H9" i="1"/>
  <c r="G9" i="1"/>
  <c r="G31" i="1" s="1"/>
  <c r="F9" i="1"/>
  <c r="F31" i="1" s="1"/>
  <c r="E9" i="1"/>
  <c r="D9" i="1"/>
  <c r="C9" i="1"/>
  <c r="C31" i="1" s="1"/>
  <c r="B9" i="1"/>
  <c r="I8" i="1"/>
  <c r="H8" i="1"/>
  <c r="G8" i="1"/>
  <c r="F8" i="1"/>
  <c r="F30" i="1" s="1"/>
  <c r="E8" i="1"/>
  <c r="D8" i="1"/>
  <c r="C8" i="1"/>
  <c r="B8" i="1"/>
  <c r="B30" i="1" s="1"/>
  <c r="I7" i="1"/>
  <c r="H7" i="1"/>
  <c r="G7" i="1"/>
  <c r="G29" i="1" s="1"/>
  <c r="F7" i="1"/>
  <c r="F29" i="1" s="1"/>
  <c r="E7" i="1"/>
  <c r="D7" i="1"/>
  <c r="C7" i="1"/>
  <c r="C29" i="1" s="1"/>
  <c r="B7" i="1"/>
  <c r="B29" i="1" s="1"/>
  <c r="I6" i="1"/>
  <c r="H6" i="1"/>
  <c r="G6" i="1"/>
  <c r="F6" i="1"/>
  <c r="F28" i="1" s="1"/>
  <c r="E6" i="1"/>
  <c r="D6" i="1"/>
  <c r="C6" i="1"/>
  <c r="B6" i="1"/>
  <c r="B28" i="1" s="1"/>
  <c r="I5" i="1"/>
  <c r="H5" i="1"/>
  <c r="G5" i="1"/>
  <c r="G27" i="1" s="1"/>
  <c r="F5" i="1"/>
  <c r="F27" i="1" s="1"/>
  <c r="E5" i="1"/>
  <c r="D5" i="1"/>
  <c r="C5" i="1"/>
  <c r="C27" i="1" s="1"/>
  <c r="B5" i="1"/>
  <c r="I4" i="1"/>
  <c r="H4" i="1"/>
  <c r="G4" i="1"/>
  <c r="F4" i="1"/>
  <c r="F26" i="1" s="1"/>
  <c r="E4" i="1"/>
  <c r="D4" i="1"/>
  <c r="C4" i="1"/>
  <c r="B4" i="1"/>
  <c r="I3" i="1"/>
  <c r="I25" i="1" s="1"/>
  <c r="H3" i="1"/>
  <c r="G3" i="1"/>
  <c r="F3" i="1"/>
  <c r="E3" i="1"/>
  <c r="D3" i="1"/>
  <c r="C3" i="1"/>
  <c r="I32" i="1" l="1"/>
  <c r="B92" i="1"/>
  <c r="B32" i="1"/>
  <c r="I59" i="1"/>
  <c r="C32" i="1"/>
  <c r="H99" i="1"/>
  <c r="H97" i="1"/>
  <c r="H95" i="1"/>
  <c r="H93" i="1"/>
  <c r="B26" i="1"/>
  <c r="E59" i="1"/>
  <c r="D25" i="1"/>
  <c r="H25" i="1"/>
  <c r="D26" i="1"/>
  <c r="H26" i="1"/>
  <c r="H31" i="1"/>
  <c r="H61" i="1"/>
  <c r="H62" i="1"/>
  <c r="H63" i="1"/>
  <c r="H64" i="1"/>
  <c r="H65" i="1"/>
  <c r="H66" i="1"/>
  <c r="F25" i="1"/>
  <c r="H30" i="1"/>
  <c r="D29" i="1"/>
  <c r="D28" i="1"/>
  <c r="G26" i="1"/>
  <c r="C26" i="1"/>
  <c r="G32" i="1"/>
  <c r="H60" i="1"/>
  <c r="D60" i="1"/>
  <c r="E92" i="1"/>
  <c r="D99" i="1"/>
  <c r="D98" i="1"/>
  <c r="D97" i="1"/>
  <c r="D96" i="1"/>
  <c r="D95" i="1"/>
  <c r="D94" i="1"/>
  <c r="G25" i="1"/>
  <c r="C25" i="1"/>
  <c r="G30" i="1"/>
  <c r="C30" i="1"/>
  <c r="G28" i="1"/>
  <c r="C28" i="1"/>
  <c r="H32" i="1"/>
  <c r="C60" i="1"/>
  <c r="C93" i="1"/>
  <c r="D31" i="1"/>
  <c r="D30" i="1"/>
  <c r="H28" i="1"/>
  <c r="D27" i="1"/>
  <c r="D93" i="1"/>
  <c r="H59" i="1"/>
  <c r="D59" i="1"/>
  <c r="H92" i="1"/>
  <c r="D92" i="1"/>
  <c r="G99" i="1"/>
  <c r="C99" i="1"/>
  <c r="G98" i="1"/>
  <c r="C98" i="1"/>
  <c r="G97" i="1"/>
  <c r="C97" i="1"/>
  <c r="G96" i="1"/>
  <c r="C96" i="1"/>
  <c r="G95" i="1"/>
  <c r="C95" i="1"/>
  <c r="G94" i="1"/>
  <c r="C94" i="1"/>
  <c r="G93" i="1"/>
  <c r="I31" i="1"/>
  <c r="E31" i="1"/>
  <c r="I30" i="1"/>
  <c r="E30" i="1"/>
  <c r="I29" i="1"/>
  <c r="E29" i="1"/>
  <c r="I28" i="1"/>
  <c r="E28" i="1"/>
  <c r="I27" i="1"/>
  <c r="E27" i="1"/>
  <c r="B59" i="1"/>
  <c r="I60" i="1"/>
  <c r="E60" i="1"/>
  <c r="F92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26" i="1"/>
  <c r="E26" i="1"/>
  <c r="G59" i="1"/>
  <c r="C59" i="1"/>
</calcChain>
</file>

<file path=xl/sharedStrings.xml><?xml version="1.0" encoding="utf-8"?>
<sst xmlns="http://schemas.openxmlformats.org/spreadsheetml/2006/main" count="18" uniqueCount="11">
  <si>
    <t>частота\канал</t>
  </si>
  <si>
    <t>частота/канал</t>
  </si>
  <si>
    <t>Установленное значение при коэффициенте усиления BOE "-1", BOC "0"</t>
  </si>
  <si>
    <t>Измеренное значение при коэффициенте усиления BOE "-1", BOC "0"</t>
  </si>
  <si>
    <t>Погрешность при коеффициенте усления BOE "-1", BOC "0"</t>
  </si>
  <si>
    <t>Установленное значение при коэффициенте усиления BOE "-1", BOC "3"</t>
  </si>
  <si>
    <t>Измеренное значение при коэффициенте усиления BOE "-1", BOC "3"</t>
  </si>
  <si>
    <t>Погрешность при коеффициенте усления BOE "-1", BOC "3"</t>
  </si>
  <si>
    <t>Установленное значение при коэффициенте усиления BOE "0", BOC "0"</t>
  </si>
  <si>
    <t>Измеренное значение при коэффициенте усиления BOE "0", BOC "0"</t>
  </si>
  <si>
    <t>Погрешность при коеффициенте усления BOE "0", BOC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</si>
</sst>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1" fontId="1" fillId="0" borderId="1" xfId="0" applyNumberFormat="1" applyFont="1" applyBorder="1"/>
    <xf numFmtId="165" fontId="0" fillId="0" borderId="0" xfId="0" applyNumberFormat="1"/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11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topLeftCell="A70" workbookViewId="0">
      <selection activeCell="L88" sqref="L88"/>
    </sheetView>
  </sheetViews>
  <sheetFormatPr defaultRowHeight="15" x14ac:dyDescent="0.25"/>
  <cols>
    <col min="2" max="9" width="13.7109375" bestFit="1" customWidth="1"/>
    <col min="13" max="20" width="13.5703125" customWidth="1"/>
  </cols>
  <sheetData>
    <row r="1" spans="1:20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M1" s="2">
        <v>4.0300479999999996E-3</v>
      </c>
      <c r="N1" s="2">
        <v>4.0142759999999998E-3</v>
      </c>
      <c r="O1" s="2">
        <v>4.0249029999999998E-3</v>
      </c>
      <c r="P1" s="2">
        <v>4.025748E-3</v>
      </c>
      <c r="Q1" s="2">
        <v>4.0171570000000004E-3</v>
      </c>
      <c r="R1" s="2">
        <v>4.0185000000000004E-3</v>
      </c>
      <c r="S1" s="2">
        <v>4.0120609999999999E-3</v>
      </c>
      <c r="T1" s="2">
        <v>4.0293450000000001E-3</v>
      </c>
    </row>
    <row r="2" spans="1:20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M2" s="2">
        <v>4.0563869999999998E-3</v>
      </c>
      <c r="N2" s="2">
        <v>4.0380290000000003E-3</v>
      </c>
      <c r="O2" s="2">
        <v>4.0630450000000004E-3</v>
      </c>
      <c r="P2" s="2">
        <v>4.0492009999999997E-3</v>
      </c>
      <c r="Q2" s="2">
        <v>4.0357919999999999E-3</v>
      </c>
      <c r="R2" s="2">
        <v>4.046493E-3</v>
      </c>
      <c r="S2" s="2">
        <v>4.024896E-3</v>
      </c>
      <c r="T2" s="2">
        <v>4.0529060000000002E-3</v>
      </c>
    </row>
    <row r="3" spans="1:20" x14ac:dyDescent="0.25">
      <c r="A3">
        <v>100</v>
      </c>
      <c r="B3" s="3">
        <f>M1</f>
        <v>4.0300479999999996E-3</v>
      </c>
      <c r="C3" s="3">
        <f t="shared" ref="C3:I10" si="0">N1</f>
        <v>4.0142759999999998E-3</v>
      </c>
      <c r="D3" s="3">
        <f t="shared" si="0"/>
        <v>4.0249029999999998E-3</v>
      </c>
      <c r="E3" s="3">
        <f t="shared" si="0"/>
        <v>4.025748E-3</v>
      </c>
      <c r="F3" s="3">
        <f t="shared" si="0"/>
        <v>4.0171570000000004E-3</v>
      </c>
      <c r="G3" s="3">
        <f t="shared" si="0"/>
        <v>4.0185000000000004E-3</v>
      </c>
      <c r="H3" s="3">
        <f t="shared" si="0"/>
        <v>4.0120609999999999E-3</v>
      </c>
      <c r="I3" s="3">
        <f t="shared" si="0"/>
        <v>4.0293450000000001E-3</v>
      </c>
      <c r="M3" s="2">
        <v>4.1488300000000001E-3</v>
      </c>
      <c r="N3" s="2">
        <v>4.1252529999999997E-3</v>
      </c>
      <c r="O3" s="2">
        <v>4.145419E-3</v>
      </c>
      <c r="P3" s="2">
        <v>4.1445179999999998E-3</v>
      </c>
      <c r="Q3" s="2">
        <v>4.1321750000000001E-3</v>
      </c>
      <c r="R3" s="2">
        <v>4.1367349999999999E-3</v>
      </c>
      <c r="S3" s="2">
        <v>4.1237519999999996E-3</v>
      </c>
      <c r="T3" s="2">
        <v>4.1518509999999998E-3</v>
      </c>
    </row>
    <row r="4" spans="1:20" x14ac:dyDescent="0.25">
      <c r="A4">
        <v>500</v>
      </c>
      <c r="B4" s="3">
        <f t="shared" ref="B4:B10" si="1">M2</f>
        <v>4.0563869999999998E-3</v>
      </c>
      <c r="C4" s="3">
        <f t="shared" si="0"/>
        <v>4.0380290000000003E-3</v>
      </c>
      <c r="D4" s="3">
        <f t="shared" si="0"/>
        <v>4.0630450000000004E-3</v>
      </c>
      <c r="E4" s="3">
        <f t="shared" si="0"/>
        <v>4.0492009999999997E-3</v>
      </c>
      <c r="F4" s="3">
        <f t="shared" si="0"/>
        <v>4.0357919999999999E-3</v>
      </c>
      <c r="G4" s="3">
        <f t="shared" si="0"/>
        <v>4.046493E-3</v>
      </c>
      <c r="H4" s="3">
        <f t="shared" si="0"/>
        <v>4.024896E-3</v>
      </c>
      <c r="I4" s="3">
        <f t="shared" si="0"/>
        <v>4.0529060000000002E-3</v>
      </c>
      <c r="M4" s="2">
        <v>6.3517280000000001E-3</v>
      </c>
      <c r="N4" s="2">
        <v>6.3554409999999999E-3</v>
      </c>
      <c r="O4" s="2">
        <v>6.361841E-3</v>
      </c>
      <c r="P4" s="2">
        <v>6.356469E-3</v>
      </c>
      <c r="Q4" s="2">
        <v>6.3441970000000002E-3</v>
      </c>
      <c r="R4" s="2">
        <v>6.359941E-3</v>
      </c>
      <c r="S4" s="2">
        <v>6.3276080000000002E-3</v>
      </c>
      <c r="T4" s="2">
        <v>6.348495E-3</v>
      </c>
    </row>
    <row r="5" spans="1:20" x14ac:dyDescent="0.25">
      <c r="A5">
        <v>1000</v>
      </c>
      <c r="B5" s="3">
        <f t="shared" si="1"/>
        <v>4.1488300000000001E-3</v>
      </c>
      <c r="C5" s="3">
        <f t="shared" si="0"/>
        <v>4.1252529999999997E-3</v>
      </c>
      <c r="D5" s="3">
        <f t="shared" si="0"/>
        <v>4.145419E-3</v>
      </c>
      <c r="E5" s="3">
        <f t="shared" si="0"/>
        <v>4.1445179999999998E-3</v>
      </c>
      <c r="F5" s="3">
        <f t="shared" si="0"/>
        <v>4.1321750000000001E-3</v>
      </c>
      <c r="G5" s="3">
        <f t="shared" si="0"/>
        <v>4.1367349999999999E-3</v>
      </c>
      <c r="H5" s="3">
        <f t="shared" si="0"/>
        <v>4.1237519999999996E-3</v>
      </c>
      <c r="I5" s="3">
        <f t="shared" si="0"/>
        <v>4.1518509999999998E-3</v>
      </c>
      <c r="M5" s="2">
        <v>1.0687311E-2</v>
      </c>
      <c r="N5" s="2">
        <v>1.0687551E-2</v>
      </c>
      <c r="O5" s="2">
        <v>1.0683099999999999E-2</v>
      </c>
      <c r="P5" s="2">
        <v>1.0692379E-2</v>
      </c>
      <c r="Q5" s="2">
        <v>1.0668324999999999E-2</v>
      </c>
      <c r="R5" s="2">
        <v>1.0695573999999999E-2</v>
      </c>
      <c r="S5" s="2">
        <v>1.0629421999999999E-2</v>
      </c>
      <c r="T5" s="2">
        <v>1.0666E-2</v>
      </c>
    </row>
    <row r="6" spans="1:20" x14ac:dyDescent="0.25">
      <c r="A6">
        <v>5000</v>
      </c>
      <c r="B6" s="3">
        <f t="shared" si="1"/>
        <v>6.3517280000000001E-3</v>
      </c>
      <c r="C6" s="3">
        <f t="shared" si="0"/>
        <v>6.3554409999999999E-3</v>
      </c>
      <c r="D6" s="3">
        <f t="shared" si="0"/>
        <v>6.361841E-3</v>
      </c>
      <c r="E6" s="3">
        <f t="shared" si="0"/>
        <v>6.356469E-3</v>
      </c>
      <c r="F6" s="3">
        <f t="shared" si="0"/>
        <v>6.3441970000000002E-3</v>
      </c>
      <c r="G6" s="3">
        <f t="shared" si="0"/>
        <v>6.359941E-3</v>
      </c>
      <c r="H6" s="3">
        <f t="shared" si="0"/>
        <v>6.3276080000000002E-3</v>
      </c>
      <c r="I6" s="3">
        <f t="shared" si="0"/>
        <v>6.348495E-3</v>
      </c>
      <c r="M6" s="2">
        <v>4.9574318999999999E-2</v>
      </c>
      <c r="N6" s="2">
        <v>4.9619592999999997E-2</v>
      </c>
      <c r="O6" s="2">
        <v>4.9554019999999997E-2</v>
      </c>
      <c r="P6" s="2">
        <v>4.9616295999999997E-2</v>
      </c>
      <c r="Q6" s="2">
        <v>4.9508452000000001E-2</v>
      </c>
      <c r="R6" s="2">
        <v>4.9618304000000002E-2</v>
      </c>
      <c r="S6" s="2">
        <v>4.9325299000000003E-2</v>
      </c>
      <c r="T6" s="2">
        <v>4.9450072999999997E-2</v>
      </c>
    </row>
    <row r="7" spans="1:20" x14ac:dyDescent="0.25">
      <c r="A7">
        <v>10000</v>
      </c>
      <c r="B7" s="3">
        <f t="shared" si="1"/>
        <v>1.0687311E-2</v>
      </c>
      <c r="C7" s="3">
        <f t="shared" si="0"/>
        <v>1.0687551E-2</v>
      </c>
      <c r="D7" s="3">
        <f t="shared" si="0"/>
        <v>1.0683099999999999E-2</v>
      </c>
      <c r="E7" s="3">
        <f t="shared" si="0"/>
        <v>1.0692379E-2</v>
      </c>
      <c r="F7" s="3">
        <f t="shared" si="0"/>
        <v>1.0668324999999999E-2</v>
      </c>
      <c r="G7" s="3">
        <f t="shared" si="0"/>
        <v>1.0695573999999999E-2</v>
      </c>
      <c r="H7" s="3">
        <f t="shared" si="0"/>
        <v>1.0629421999999999E-2</v>
      </c>
      <c r="I7" s="3">
        <f t="shared" si="0"/>
        <v>1.0666E-2</v>
      </c>
      <c r="M7" s="2">
        <v>9.9054991999999994E-2</v>
      </c>
      <c r="N7" s="2">
        <v>9.9130734999999998E-2</v>
      </c>
      <c r="O7" s="2">
        <v>9.9023170999999993E-2</v>
      </c>
      <c r="P7" s="2">
        <v>9.913756E-2</v>
      </c>
      <c r="Q7" s="2">
        <v>9.8939650000000004E-2</v>
      </c>
      <c r="R7" s="2">
        <v>9.9144086000000006E-2</v>
      </c>
      <c r="S7" s="2">
        <v>9.8600841999999994E-2</v>
      </c>
      <c r="T7" s="2">
        <v>9.8816424999999999E-2</v>
      </c>
    </row>
    <row r="8" spans="1:20" x14ac:dyDescent="0.25">
      <c r="A8">
        <v>50000</v>
      </c>
      <c r="B8" s="3">
        <f t="shared" si="1"/>
        <v>4.9574318999999999E-2</v>
      </c>
      <c r="C8" s="3">
        <f t="shared" si="0"/>
        <v>4.9619592999999997E-2</v>
      </c>
      <c r="D8" s="3">
        <f t="shared" si="0"/>
        <v>4.9554019999999997E-2</v>
      </c>
      <c r="E8" s="3">
        <f t="shared" si="0"/>
        <v>4.9616295999999997E-2</v>
      </c>
      <c r="F8" s="3">
        <f t="shared" si="0"/>
        <v>4.9508452000000001E-2</v>
      </c>
      <c r="G8" s="3">
        <f t="shared" si="0"/>
        <v>4.9618304000000002E-2</v>
      </c>
      <c r="H8" s="3">
        <f t="shared" si="0"/>
        <v>4.9325299000000003E-2</v>
      </c>
      <c r="I8" s="3">
        <f t="shared" si="0"/>
        <v>4.9450072999999997E-2</v>
      </c>
      <c r="M8" s="2">
        <v>0.13834291700000001</v>
      </c>
      <c r="N8" s="2">
        <v>0.138439909</v>
      </c>
      <c r="O8" s="2">
        <v>0.13830553000000001</v>
      </c>
      <c r="P8" s="2">
        <v>0.13846218599999999</v>
      </c>
      <c r="Q8" s="2">
        <v>0.138201147</v>
      </c>
      <c r="R8" s="2">
        <v>0.13846118700000001</v>
      </c>
      <c r="S8" s="2">
        <v>0.13773982200000001</v>
      </c>
      <c r="T8" s="2">
        <v>0.13801833999999999</v>
      </c>
    </row>
    <row r="9" spans="1:20" x14ac:dyDescent="0.25">
      <c r="A9">
        <v>100000</v>
      </c>
      <c r="B9" s="3">
        <f t="shared" si="1"/>
        <v>9.9054991999999994E-2</v>
      </c>
      <c r="C9" s="3">
        <f t="shared" si="0"/>
        <v>9.9130734999999998E-2</v>
      </c>
      <c r="D9" s="3">
        <f t="shared" si="0"/>
        <v>9.9023170999999993E-2</v>
      </c>
      <c r="E9" s="3">
        <f t="shared" si="0"/>
        <v>9.913756E-2</v>
      </c>
      <c r="F9" s="3">
        <f t="shared" si="0"/>
        <v>9.8939650000000004E-2</v>
      </c>
      <c r="G9" s="3">
        <f t="shared" si="0"/>
        <v>9.9144086000000006E-2</v>
      </c>
      <c r="H9" s="3">
        <f t="shared" si="0"/>
        <v>9.8600841999999994E-2</v>
      </c>
      <c r="I9" s="3">
        <f t="shared" si="0"/>
        <v>9.8816424999999999E-2</v>
      </c>
      <c r="M9" s="2">
        <v>7.2501345000000006E-5</v>
      </c>
      <c r="N9" s="2">
        <v>7.4592032999999997E-5</v>
      </c>
      <c r="O9" s="2">
        <v>7.3464550999999994E-5</v>
      </c>
      <c r="P9" s="2">
        <v>7.4804382000000002E-5</v>
      </c>
      <c r="Q9" s="2">
        <v>7.0529865999999997E-5</v>
      </c>
      <c r="R9" s="2">
        <v>7.4641429999999995E-5</v>
      </c>
      <c r="S9" s="2">
        <v>7.3978292000000001E-5</v>
      </c>
      <c r="T9" s="2">
        <v>7.5416267999999997E-5</v>
      </c>
    </row>
    <row r="10" spans="1:20" x14ac:dyDescent="0.25">
      <c r="A10">
        <v>140000</v>
      </c>
      <c r="B10" s="3">
        <f t="shared" si="1"/>
        <v>0.13834291700000001</v>
      </c>
      <c r="C10" s="3">
        <f t="shared" si="0"/>
        <v>0.138439909</v>
      </c>
      <c r="D10" s="3">
        <f t="shared" si="0"/>
        <v>0.13830553000000001</v>
      </c>
      <c r="E10" s="3">
        <f t="shared" si="0"/>
        <v>0.13846218599999999</v>
      </c>
      <c r="F10" s="3">
        <f t="shared" si="0"/>
        <v>0.138201147</v>
      </c>
      <c r="G10" s="3">
        <f t="shared" si="0"/>
        <v>0.13846118700000001</v>
      </c>
      <c r="H10" s="3">
        <f t="shared" si="0"/>
        <v>0.13773982200000001</v>
      </c>
      <c r="I10" s="3">
        <f t="shared" si="0"/>
        <v>0.13801833999999999</v>
      </c>
      <c r="M10" s="2">
        <v>3.6851022700000002E-4</v>
      </c>
      <c r="N10" s="2">
        <v>3.6283832699999998E-4</v>
      </c>
      <c r="O10" s="2">
        <v>3.6178028700000001E-4</v>
      </c>
      <c r="P10" s="2">
        <v>3.6742782699999998E-4</v>
      </c>
      <c r="Q10" s="2">
        <v>3.6470059399999999E-4</v>
      </c>
      <c r="R10" s="2">
        <v>3.7265147000000001E-4</v>
      </c>
      <c r="S10" s="2">
        <v>3.6602298499999999E-4</v>
      </c>
      <c r="T10" s="2">
        <v>3.6504416500000002E-4</v>
      </c>
    </row>
    <row r="11" spans="1:20" x14ac:dyDescent="0.25">
      <c r="M11" s="2">
        <v>8.1371626600000005E-4</v>
      </c>
      <c r="N11" s="2">
        <v>7.9931883399999995E-4</v>
      </c>
      <c r="O11" s="2">
        <v>8.0186099499999998E-4</v>
      </c>
      <c r="P11" s="2">
        <v>8.0149795399999996E-4</v>
      </c>
      <c r="Q11" s="2">
        <v>7.9825345899999997E-4</v>
      </c>
      <c r="R11" s="2">
        <v>8.0739031499999999E-4</v>
      </c>
      <c r="S11" s="2">
        <v>8.0912956000000005E-4</v>
      </c>
      <c r="T11" s="2">
        <v>8.0300366999999997E-4</v>
      </c>
    </row>
    <row r="12" spans="1:20" x14ac:dyDescent="0.25">
      <c r="A12" s="4" t="s">
        <v>3</v>
      </c>
      <c r="B12" s="4"/>
      <c r="C12" s="4"/>
      <c r="D12" s="4"/>
      <c r="E12" s="4"/>
      <c r="F12" s="4"/>
      <c r="G12" s="4"/>
      <c r="H12" s="4"/>
      <c r="I12" s="4"/>
      <c r="M12" s="2">
        <v>4.80855E-3</v>
      </c>
      <c r="N12" s="2">
        <v>4.7642509999999997E-3</v>
      </c>
      <c r="O12" s="2">
        <v>4.7617570000000001E-3</v>
      </c>
      <c r="P12" s="2">
        <v>4.7815000000000002E-3</v>
      </c>
      <c r="Q12" s="2">
        <v>4.764356E-3</v>
      </c>
      <c r="R12" s="2">
        <v>4.7813439999999999E-3</v>
      </c>
      <c r="S12" s="2">
        <v>4.7830859999999998E-3</v>
      </c>
      <c r="T12" s="2">
        <v>4.7899199999999996E-3</v>
      </c>
    </row>
    <row r="13" spans="1:20" x14ac:dyDescent="0.25">
      <c r="A13" t="s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M13" s="2">
        <v>9.7966259999999993E-3</v>
      </c>
      <c r="N13" s="2">
        <v>9.7281929999999996E-3</v>
      </c>
      <c r="O13" s="2">
        <v>9.7239179999999998E-3</v>
      </c>
      <c r="P13" s="2">
        <v>9.7617369999999995E-3</v>
      </c>
      <c r="Q13" s="2">
        <v>9.7290750000000002E-3</v>
      </c>
      <c r="R13" s="2">
        <v>9.7767640000000003E-3</v>
      </c>
      <c r="S13" s="2">
        <v>9.7560110000000002E-3</v>
      </c>
      <c r="T13" s="2">
        <v>9.7722490000000002E-3</v>
      </c>
    </row>
    <row r="14" spans="1:20" x14ac:dyDescent="0.25">
      <c r="A14">
        <v>100</v>
      </c>
      <c r="B14" s="3">
        <f>M9*1000000</f>
        <v>72.501345000000001</v>
      </c>
      <c r="C14" s="3">
        <f t="shared" ref="C14:I14" si="2">N9*1000000</f>
        <v>74.592033000000001</v>
      </c>
      <c r="D14" s="3">
        <f t="shared" si="2"/>
        <v>73.464551</v>
      </c>
      <c r="E14" s="3">
        <f t="shared" si="2"/>
        <v>74.804382000000004</v>
      </c>
      <c r="F14" s="3">
        <f t="shared" si="2"/>
        <v>70.529865999999998</v>
      </c>
      <c r="G14" s="3">
        <f t="shared" si="2"/>
        <v>74.64143</v>
      </c>
      <c r="H14" s="3">
        <f t="shared" si="2"/>
        <v>73.978291999999996</v>
      </c>
      <c r="I14" s="3">
        <f t="shared" si="2"/>
        <v>75.416268000000002</v>
      </c>
      <c r="M14" s="2">
        <v>4.9639652999999999E-2</v>
      </c>
      <c r="N14" s="2">
        <v>4.9350287999999999E-2</v>
      </c>
      <c r="O14" s="2">
        <v>4.9306557000000001E-2</v>
      </c>
      <c r="P14" s="2">
        <v>4.9394241999999998E-2</v>
      </c>
      <c r="Q14" s="2">
        <v>4.9356035999999999E-2</v>
      </c>
      <c r="R14" s="2">
        <v>4.9485098999999998E-2</v>
      </c>
      <c r="S14" s="2">
        <v>4.9358919000000001E-2</v>
      </c>
      <c r="T14" s="2">
        <v>4.9537144999999998E-2</v>
      </c>
    </row>
    <row r="15" spans="1:20" x14ac:dyDescent="0.25">
      <c r="A15">
        <v>500</v>
      </c>
      <c r="B15" s="3">
        <f>M10*1000000</f>
        <v>368.51022700000004</v>
      </c>
      <c r="C15" s="3">
        <f t="shared" ref="C15:C20" si="3">N10*1000000</f>
        <v>362.83832699999999</v>
      </c>
      <c r="D15" s="3">
        <f t="shared" ref="D15:D20" si="4">O10*1000000</f>
        <v>361.78028699999999</v>
      </c>
      <c r="E15" s="3">
        <f t="shared" ref="E15:E20" si="5">P10*1000000</f>
        <v>367.42782699999998</v>
      </c>
      <c r="F15" s="3">
        <f t="shared" ref="F15:F20" si="6">Q10*1000000</f>
        <v>364.70059399999997</v>
      </c>
      <c r="G15" s="3">
        <f t="shared" ref="G15:G20" si="7">R10*1000000</f>
        <v>372.65147000000002</v>
      </c>
      <c r="H15" s="3">
        <f t="shared" ref="H15:H20" si="8">S10*1000000</f>
        <v>366.02298500000001</v>
      </c>
      <c r="I15" s="3">
        <f t="shared" ref="I15:I20" si="9">T10*1000000</f>
        <v>365.04416500000002</v>
      </c>
      <c r="M15" s="2">
        <v>9.9463902000000007E-2</v>
      </c>
      <c r="N15" s="2">
        <v>9.8897122000000004E-2</v>
      </c>
      <c r="O15" s="2">
        <v>9.8754905000000004E-2</v>
      </c>
      <c r="P15" s="2">
        <v>9.8949485000000004E-2</v>
      </c>
      <c r="Q15" s="2">
        <v>9.8865509000000004E-2</v>
      </c>
      <c r="R15" s="2">
        <v>9.9114894999999995E-2</v>
      </c>
      <c r="S15" s="2">
        <v>9.8813124000000002E-2</v>
      </c>
      <c r="T15" s="2">
        <v>9.9253833E-2</v>
      </c>
    </row>
    <row r="16" spans="1:20" x14ac:dyDescent="0.25">
      <c r="A16">
        <v>1000</v>
      </c>
      <c r="B16" s="3">
        <f t="shared" ref="B16:B20" si="10">M11*1000000</f>
        <v>813.71626600000002</v>
      </c>
      <c r="C16" s="3">
        <f>N11*1000000</f>
        <v>799.31883399999992</v>
      </c>
      <c r="D16" s="3">
        <f t="shared" si="4"/>
        <v>801.860995</v>
      </c>
      <c r="E16" s="3">
        <f t="shared" si="5"/>
        <v>801.49795399999994</v>
      </c>
      <c r="F16" s="3">
        <f t="shared" si="6"/>
        <v>798.25345900000002</v>
      </c>
      <c r="G16" s="3">
        <f t="shared" si="7"/>
        <v>807.39031499999999</v>
      </c>
      <c r="H16" s="3">
        <f t="shared" si="8"/>
        <v>809.12956000000008</v>
      </c>
      <c r="I16" s="3">
        <f t="shared" si="9"/>
        <v>803.00366999999994</v>
      </c>
      <c r="M16" s="2">
        <v>0.13915830900000001</v>
      </c>
      <c r="N16" s="2">
        <v>0.13844509399999999</v>
      </c>
      <c r="O16" s="2">
        <v>0.13823860900000001</v>
      </c>
      <c r="P16" s="2">
        <v>0.13851284999999999</v>
      </c>
      <c r="Q16" s="2">
        <v>0.138361812</v>
      </c>
      <c r="R16" s="2">
        <v>0.13872504199999999</v>
      </c>
      <c r="S16" s="2">
        <v>0.13822404999999999</v>
      </c>
      <c r="T16" s="2">
        <v>0.13890993600000001</v>
      </c>
    </row>
    <row r="17" spans="1:20" x14ac:dyDescent="0.25">
      <c r="A17">
        <v>5000</v>
      </c>
      <c r="B17" s="3">
        <f t="shared" si="10"/>
        <v>4808.55</v>
      </c>
      <c r="C17" s="3">
        <f t="shared" si="3"/>
        <v>4764.2509999999993</v>
      </c>
      <c r="D17" s="3">
        <f t="shared" si="4"/>
        <v>4761.7570000000005</v>
      </c>
      <c r="E17" s="3">
        <f t="shared" si="5"/>
        <v>4781.5</v>
      </c>
      <c r="F17" s="3">
        <f t="shared" si="6"/>
        <v>4764.3559999999998</v>
      </c>
      <c r="G17" s="3">
        <f t="shared" si="7"/>
        <v>4781.3440000000001</v>
      </c>
      <c r="H17" s="3">
        <f t="shared" si="8"/>
        <v>4783.0859999999993</v>
      </c>
      <c r="I17" s="3">
        <f t="shared" si="9"/>
        <v>4789.9199999999992</v>
      </c>
      <c r="M17" s="2">
        <v>4.0308339999999996E-3</v>
      </c>
      <c r="N17" s="2">
        <v>3.9984479999999999E-3</v>
      </c>
      <c r="O17" s="2">
        <v>4.0352239999999996E-3</v>
      </c>
      <c r="P17" s="2">
        <v>4.0295009999999996E-3</v>
      </c>
      <c r="Q17" s="2">
        <v>4.0122760000000004E-3</v>
      </c>
      <c r="R17" s="2">
        <v>4.0274229999999996E-3</v>
      </c>
      <c r="S17" s="2">
        <v>4.0078229999999998E-3</v>
      </c>
      <c r="T17" s="2">
        <v>4.025041E-3</v>
      </c>
    </row>
    <row r="18" spans="1:20" x14ac:dyDescent="0.25">
      <c r="A18">
        <v>10000</v>
      </c>
      <c r="B18" s="3">
        <f t="shared" si="10"/>
        <v>9796.6259999999984</v>
      </c>
      <c r="C18" s="3">
        <f t="shared" si="3"/>
        <v>9728.1929999999993</v>
      </c>
      <c r="D18" s="3">
        <f t="shared" si="4"/>
        <v>9723.9179999999997</v>
      </c>
      <c r="E18" s="3">
        <f t="shared" si="5"/>
        <v>9761.7369999999992</v>
      </c>
      <c r="F18" s="3">
        <f t="shared" si="6"/>
        <v>9729.0750000000007</v>
      </c>
      <c r="G18" s="3">
        <f t="shared" si="7"/>
        <v>9776.764000000001</v>
      </c>
      <c r="H18" s="3">
        <f t="shared" si="8"/>
        <v>9756.0110000000004</v>
      </c>
      <c r="I18" s="3">
        <f t="shared" si="9"/>
        <v>9772.2489999999998</v>
      </c>
      <c r="M18" s="2">
        <v>4.062586E-3</v>
      </c>
      <c r="N18" s="2">
        <v>4.0421800000000003E-3</v>
      </c>
      <c r="O18" s="2">
        <v>4.0625840000000002E-3</v>
      </c>
      <c r="P18" s="2">
        <v>4.0495710000000001E-3</v>
      </c>
      <c r="Q18" s="2">
        <v>4.0454790000000003E-3</v>
      </c>
      <c r="R18" s="2">
        <v>4.052567E-3</v>
      </c>
      <c r="S18" s="2">
        <v>4.0307590000000001E-3</v>
      </c>
      <c r="T18" s="2">
        <v>4.0563489999999999E-3</v>
      </c>
    </row>
    <row r="19" spans="1:20" x14ac:dyDescent="0.25">
      <c r="A19">
        <v>50000</v>
      </c>
      <c r="B19" s="3">
        <f t="shared" si="10"/>
        <v>49639.652999999998</v>
      </c>
      <c r="C19" s="3">
        <f t="shared" si="3"/>
        <v>49350.288</v>
      </c>
      <c r="D19" s="3">
        <f t="shared" si="4"/>
        <v>49306.557000000001</v>
      </c>
      <c r="E19" s="3">
        <f t="shared" si="5"/>
        <v>49394.241999999998</v>
      </c>
      <c r="F19" s="3">
        <f t="shared" si="6"/>
        <v>49356.036</v>
      </c>
      <c r="G19" s="3">
        <f t="shared" si="7"/>
        <v>49485.098999999995</v>
      </c>
      <c r="H19" s="3">
        <f t="shared" si="8"/>
        <v>49358.919000000002</v>
      </c>
      <c r="I19" s="3">
        <f t="shared" si="9"/>
        <v>49537.144999999997</v>
      </c>
      <c r="M19" s="2">
        <v>4.1472790000000002E-3</v>
      </c>
      <c r="N19" s="2">
        <v>4.135176E-3</v>
      </c>
      <c r="O19" s="2">
        <v>4.1519900000000004E-3</v>
      </c>
      <c r="P19" s="2">
        <v>4.1484699999999996E-3</v>
      </c>
      <c r="Q19" s="2">
        <v>4.1264429999999996E-3</v>
      </c>
      <c r="R19" s="2">
        <v>4.132195E-3</v>
      </c>
      <c r="S19" s="2">
        <v>4.120673E-3</v>
      </c>
      <c r="T19" s="2">
        <v>4.1427670000000003E-3</v>
      </c>
    </row>
    <row r="20" spans="1:20" x14ac:dyDescent="0.25">
      <c r="A20">
        <v>100000</v>
      </c>
      <c r="B20" s="3">
        <f t="shared" si="10"/>
        <v>99463.902000000002</v>
      </c>
      <c r="C20" s="3">
        <f t="shared" si="3"/>
        <v>98897.122000000003</v>
      </c>
      <c r="D20" s="3">
        <f t="shared" si="4"/>
        <v>98754.904999999999</v>
      </c>
      <c r="E20" s="3">
        <f t="shared" si="5"/>
        <v>98949.485000000001</v>
      </c>
      <c r="F20" s="3">
        <f t="shared" si="6"/>
        <v>98865.509000000005</v>
      </c>
      <c r="G20" s="3">
        <f t="shared" si="7"/>
        <v>99114.89499999999</v>
      </c>
      <c r="H20" s="3">
        <f t="shared" si="8"/>
        <v>98813.123999999996</v>
      </c>
      <c r="I20" s="3">
        <f t="shared" si="9"/>
        <v>99253.832999999999</v>
      </c>
      <c r="M20" s="2">
        <v>6.3646939999999997E-3</v>
      </c>
      <c r="N20" s="2">
        <v>6.3463139999999996E-3</v>
      </c>
      <c r="O20" s="2">
        <v>6.3609299999999999E-3</v>
      </c>
      <c r="P20" s="2">
        <v>6.356843E-3</v>
      </c>
      <c r="Q20" s="2">
        <v>6.3378660000000002E-3</v>
      </c>
      <c r="R20" s="2">
        <v>6.3621850000000002E-3</v>
      </c>
      <c r="S20" s="2">
        <v>6.3259420000000002E-3</v>
      </c>
      <c r="T20" s="2">
        <v>6.3506719999999999E-3</v>
      </c>
    </row>
    <row r="21" spans="1:20" x14ac:dyDescent="0.25">
      <c r="A21">
        <v>140000</v>
      </c>
      <c r="B21" s="3">
        <f t="shared" ref="B21:I21" si="11">M16*1000000</f>
        <v>139158.30900000001</v>
      </c>
      <c r="C21" s="3">
        <f t="shared" si="11"/>
        <v>138445.09399999998</v>
      </c>
      <c r="D21" s="3">
        <f t="shared" si="11"/>
        <v>138238.60900000003</v>
      </c>
      <c r="E21" s="3">
        <f t="shared" si="11"/>
        <v>138512.85</v>
      </c>
      <c r="F21" s="3">
        <f t="shared" si="11"/>
        <v>138361.81200000001</v>
      </c>
      <c r="G21" s="3">
        <f t="shared" si="11"/>
        <v>138725.04199999999</v>
      </c>
      <c r="H21" s="3">
        <f t="shared" si="11"/>
        <v>138224.04999999999</v>
      </c>
      <c r="I21" s="3">
        <f t="shared" si="11"/>
        <v>138909.93600000002</v>
      </c>
      <c r="M21" s="2">
        <v>1.0686335E-2</v>
      </c>
      <c r="N21" s="2">
        <v>1.0691785000000001E-2</v>
      </c>
      <c r="O21" s="2">
        <v>1.0685261E-2</v>
      </c>
      <c r="P21" s="2">
        <v>1.0688903E-2</v>
      </c>
      <c r="Q21" s="2">
        <v>1.0663494000000001E-2</v>
      </c>
      <c r="R21" s="2">
        <v>1.06917E-2</v>
      </c>
      <c r="S21" s="2">
        <v>1.0625786E-2</v>
      </c>
      <c r="T21" s="2">
        <v>1.0663906000000001E-2</v>
      </c>
    </row>
    <row r="22" spans="1:20" x14ac:dyDescent="0.25">
      <c r="M22" s="2">
        <v>4.9571118999999997E-2</v>
      </c>
      <c r="N22" s="2">
        <v>4.9614265999999997E-2</v>
      </c>
      <c r="O22" s="2">
        <v>4.9551579999999998E-2</v>
      </c>
      <c r="P22" s="2">
        <v>4.9615707000000002E-2</v>
      </c>
      <c r="Q22" s="2">
        <v>4.9505661999999999E-2</v>
      </c>
      <c r="R22" s="2">
        <v>4.9618106000000002E-2</v>
      </c>
      <c r="S22" s="2">
        <v>4.9320313999999997E-2</v>
      </c>
      <c r="T22" s="2">
        <v>4.9448974E-2</v>
      </c>
    </row>
    <row r="23" spans="1:20" x14ac:dyDescent="0.25">
      <c r="A23" s="5" t="s">
        <v>4</v>
      </c>
      <c r="B23" s="5"/>
      <c r="C23" s="5"/>
      <c r="D23" s="5"/>
      <c r="E23" s="5"/>
      <c r="F23" s="5"/>
      <c r="G23" s="5"/>
      <c r="H23" s="5"/>
      <c r="I23" s="5"/>
      <c r="M23" s="2">
        <v>9.9043145999999999E-2</v>
      </c>
      <c r="N23" s="2">
        <v>9.9117047999999999E-2</v>
      </c>
      <c r="O23" s="2">
        <v>9.9011518000000007E-2</v>
      </c>
      <c r="P23" s="2">
        <v>9.9132209999999998E-2</v>
      </c>
      <c r="Q23" s="2">
        <v>9.8933390999999996E-2</v>
      </c>
      <c r="R23" s="2">
        <v>9.9137977000000002E-2</v>
      </c>
      <c r="S23" s="2">
        <v>9.8595969000000006E-2</v>
      </c>
      <c r="T23" s="2">
        <v>9.8806917999999994E-2</v>
      </c>
    </row>
    <row r="24" spans="1:20" x14ac:dyDescent="0.25">
      <c r="A24" t="s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M24" s="2">
        <v>0.138339356</v>
      </c>
      <c r="N24" s="2">
        <v>0.138413221</v>
      </c>
      <c r="O24" s="2">
        <v>0.138288617</v>
      </c>
      <c r="P24" s="2">
        <v>0.13845501800000001</v>
      </c>
      <c r="Q24" s="2">
        <v>0.13819540999999999</v>
      </c>
      <c r="R24" s="2">
        <v>0.13845723900000001</v>
      </c>
      <c r="S24" s="2">
        <v>0.13772721600000001</v>
      </c>
      <c r="T24" s="2">
        <v>0.13802057500000001</v>
      </c>
    </row>
    <row r="25" spans="1:20" x14ac:dyDescent="0.25">
      <c r="A25">
        <v>100</v>
      </c>
      <c r="B25" s="1">
        <f>B14-B3</f>
        <v>72.497314951999996</v>
      </c>
      <c r="C25" s="1">
        <f t="shared" ref="C25:I25" si="12">C14-C3</f>
        <v>74.588018723999994</v>
      </c>
      <c r="D25" s="1">
        <f t="shared" si="12"/>
        <v>73.460526096999999</v>
      </c>
      <c r="E25" s="1">
        <f t="shared" si="12"/>
        <v>74.800356252</v>
      </c>
      <c r="F25" s="1">
        <f t="shared" si="12"/>
        <v>70.525848842999991</v>
      </c>
      <c r="G25" s="1">
        <f t="shared" si="12"/>
        <v>74.637411499999999</v>
      </c>
      <c r="H25" s="1">
        <f t="shared" si="12"/>
        <v>73.974279938999999</v>
      </c>
      <c r="I25" s="1">
        <f t="shared" si="12"/>
        <v>75.412238654999996</v>
      </c>
      <c r="M25" s="2">
        <v>1.00724108E-4</v>
      </c>
      <c r="N25" s="2">
        <v>1.0093208400000001E-4</v>
      </c>
      <c r="O25" s="2">
        <v>9.7647462000000006E-5</v>
      </c>
      <c r="P25" s="2">
        <v>1.01632897E-4</v>
      </c>
      <c r="Q25" s="2">
        <v>9.9870463999999993E-5</v>
      </c>
      <c r="R25" s="2">
        <v>1.0159576E-4</v>
      </c>
      <c r="S25" s="2">
        <v>9.8418938999999994E-5</v>
      </c>
      <c r="T25" s="2">
        <v>1.0347121900000001E-4</v>
      </c>
    </row>
    <row r="26" spans="1:20" x14ac:dyDescent="0.25">
      <c r="A26">
        <v>500</v>
      </c>
      <c r="B26" s="1">
        <f t="shared" ref="B26:I26" si="13">B15-B4</f>
        <v>368.50617061300005</v>
      </c>
      <c r="C26" s="1">
        <f t="shared" si="13"/>
        <v>362.83428897099998</v>
      </c>
      <c r="D26" s="1">
        <f t="shared" si="13"/>
        <v>361.77622395499998</v>
      </c>
      <c r="E26" s="1">
        <f t="shared" si="13"/>
        <v>367.42377779899999</v>
      </c>
      <c r="F26" s="1">
        <f t="shared" si="13"/>
        <v>364.69655820799994</v>
      </c>
      <c r="G26" s="1">
        <f t="shared" si="13"/>
        <v>372.64742350700004</v>
      </c>
      <c r="H26" s="1">
        <f t="shared" si="13"/>
        <v>366.01896010400003</v>
      </c>
      <c r="I26" s="1">
        <f t="shared" si="13"/>
        <v>365.04011209399999</v>
      </c>
      <c r="M26" s="2">
        <v>4.7196517700000002E-4</v>
      </c>
      <c r="N26" s="2">
        <v>4.6380129099999999E-4</v>
      </c>
      <c r="O26" s="2">
        <v>4.59053816E-4</v>
      </c>
      <c r="P26" s="2">
        <v>4.7172090900000002E-4</v>
      </c>
      <c r="Q26" s="2">
        <v>4.6168934199999998E-4</v>
      </c>
      <c r="R26" s="2">
        <v>4.6904600500000002E-4</v>
      </c>
      <c r="S26" s="2">
        <v>4.6320882400000002E-4</v>
      </c>
      <c r="T26" s="2">
        <v>4.65769786E-4</v>
      </c>
    </row>
    <row r="27" spans="1:20" x14ac:dyDescent="0.25">
      <c r="A27">
        <v>1000</v>
      </c>
      <c r="B27" s="1">
        <f t="shared" ref="B27:I27" si="14">B16-B5</f>
        <v>813.71211717000006</v>
      </c>
      <c r="C27" s="1">
        <f t="shared" si="14"/>
        <v>799.31470874699994</v>
      </c>
      <c r="D27" s="1">
        <f t="shared" si="14"/>
        <v>801.85684958100001</v>
      </c>
      <c r="E27" s="1">
        <f t="shared" si="14"/>
        <v>801.49380948199996</v>
      </c>
      <c r="F27" s="1">
        <f t="shared" si="14"/>
        <v>798.24932682500003</v>
      </c>
      <c r="G27" s="1">
        <f t="shared" si="14"/>
        <v>807.38617826500001</v>
      </c>
      <c r="H27" s="1">
        <f t="shared" si="14"/>
        <v>809.12543624800003</v>
      </c>
      <c r="I27" s="1">
        <f t="shared" si="14"/>
        <v>802.99951814899998</v>
      </c>
      <c r="M27" s="2">
        <v>9.8155508699999993E-4</v>
      </c>
      <c r="N27" s="2">
        <v>9.6871220699999998E-4</v>
      </c>
      <c r="O27" s="2">
        <v>9.6931832400000005E-4</v>
      </c>
      <c r="P27" s="2">
        <v>9.7032083400000002E-4</v>
      </c>
      <c r="Q27" s="2">
        <v>9.7106897699999995E-4</v>
      </c>
      <c r="R27" s="2">
        <v>9.7610981900000005E-4</v>
      </c>
      <c r="S27" s="2">
        <v>9.7783550199999998E-4</v>
      </c>
      <c r="T27" s="2">
        <v>9.7373884600000001E-4</v>
      </c>
    </row>
    <row r="28" spans="1:20" x14ac:dyDescent="0.25">
      <c r="A28">
        <v>5000</v>
      </c>
      <c r="B28" s="1">
        <f t="shared" ref="B28:I28" si="15">B17-B6</f>
        <v>4808.5436482720006</v>
      </c>
      <c r="C28" s="1">
        <f t="shared" si="15"/>
        <v>4764.2446445589994</v>
      </c>
      <c r="D28" s="1">
        <f t="shared" si="15"/>
        <v>4761.7506381590001</v>
      </c>
      <c r="E28" s="1">
        <f t="shared" si="15"/>
        <v>4781.4936435310001</v>
      </c>
      <c r="F28" s="1">
        <f t="shared" si="15"/>
        <v>4764.3496558030001</v>
      </c>
      <c r="G28" s="1">
        <f t="shared" si="15"/>
        <v>4781.3376400590005</v>
      </c>
      <c r="H28" s="1">
        <f t="shared" si="15"/>
        <v>4783.0796723919993</v>
      </c>
      <c r="I28" s="1">
        <f t="shared" si="15"/>
        <v>4789.9136515049995</v>
      </c>
      <c r="M28" s="2">
        <v>4.9946310000000002E-3</v>
      </c>
      <c r="N28" s="2">
        <v>4.9633569999999998E-3</v>
      </c>
      <c r="O28" s="2">
        <v>4.9568779999999996E-3</v>
      </c>
      <c r="P28" s="2">
        <v>4.9780939999999997E-3</v>
      </c>
      <c r="Q28" s="2">
        <v>4.9670979999999997E-3</v>
      </c>
      <c r="R28" s="2">
        <v>4.9765219999999997E-3</v>
      </c>
      <c r="S28" s="2">
        <v>4.9706129999999996E-3</v>
      </c>
      <c r="T28" s="2">
        <v>4.9825590000000001E-3</v>
      </c>
    </row>
    <row r="29" spans="1:20" x14ac:dyDescent="0.25">
      <c r="A29">
        <v>10000</v>
      </c>
      <c r="B29" s="1">
        <f t="shared" ref="B29:I29" si="16">B18-B7</f>
        <v>9796.6153126889985</v>
      </c>
      <c r="C29" s="1">
        <f t="shared" si="16"/>
        <v>9728.1823124490002</v>
      </c>
      <c r="D29" s="1">
        <f t="shared" si="16"/>
        <v>9723.9073169000003</v>
      </c>
      <c r="E29" s="1">
        <f t="shared" si="16"/>
        <v>9761.7263076209983</v>
      </c>
      <c r="F29" s="1">
        <f t="shared" si="16"/>
        <v>9729.0643316750011</v>
      </c>
      <c r="G29" s="1">
        <f t="shared" si="16"/>
        <v>9776.7533044260017</v>
      </c>
      <c r="H29" s="1">
        <f t="shared" si="16"/>
        <v>9756.000370578</v>
      </c>
      <c r="I29" s="1">
        <f t="shared" si="16"/>
        <v>9772.2383339999997</v>
      </c>
      <c r="M29" s="2">
        <v>1.0021461000000001E-2</v>
      </c>
      <c r="N29" s="2">
        <v>9.9495030000000002E-3</v>
      </c>
      <c r="O29" s="2">
        <v>9.9387850000000003E-3</v>
      </c>
      <c r="P29" s="2">
        <v>9.9692259999999994E-3</v>
      </c>
      <c r="Q29" s="2">
        <v>9.9532730000000003E-3</v>
      </c>
      <c r="R29" s="2">
        <v>9.9795939999999996E-3</v>
      </c>
      <c r="S29" s="2">
        <v>9.9660329999999991E-3</v>
      </c>
      <c r="T29" s="2">
        <v>9.9899819999999997E-3</v>
      </c>
    </row>
    <row r="30" spans="1:20" x14ac:dyDescent="0.25">
      <c r="A30">
        <v>50000</v>
      </c>
      <c r="B30" s="1">
        <f t="shared" ref="B30:I30" si="17">B19-B8</f>
        <v>49639.603425681002</v>
      </c>
      <c r="C30" s="1">
        <f t="shared" si="17"/>
        <v>49350.238380406998</v>
      </c>
      <c r="D30" s="1">
        <f t="shared" si="17"/>
        <v>49306.507445980002</v>
      </c>
      <c r="E30" s="1">
        <f t="shared" si="17"/>
        <v>49394.192383704001</v>
      </c>
      <c r="F30" s="1">
        <f t="shared" si="17"/>
        <v>49355.986491547999</v>
      </c>
      <c r="G30" s="1">
        <f t="shared" si="17"/>
        <v>49485.049381695993</v>
      </c>
      <c r="H30" s="1">
        <f t="shared" si="17"/>
        <v>49358.869674701004</v>
      </c>
      <c r="I30" s="1">
        <f t="shared" si="17"/>
        <v>49537.095549926999</v>
      </c>
      <c r="M30" s="2">
        <v>5.0009821000000003E-2</v>
      </c>
      <c r="N30" s="2">
        <v>4.9715385000000001E-2</v>
      </c>
      <c r="O30" s="2">
        <v>4.9672413999999998E-2</v>
      </c>
      <c r="P30" s="2">
        <v>4.9789421E-2</v>
      </c>
      <c r="Q30" s="2">
        <v>4.9768403000000003E-2</v>
      </c>
      <c r="R30" s="2">
        <v>4.9829610000000003E-2</v>
      </c>
      <c r="S30" s="2">
        <v>4.9733762000000001E-2</v>
      </c>
      <c r="T30" s="2">
        <v>4.9931228000000001E-2</v>
      </c>
    </row>
    <row r="31" spans="1:20" x14ac:dyDescent="0.25">
      <c r="A31">
        <v>100000</v>
      </c>
      <c r="B31" s="1">
        <f t="shared" ref="B31:I31" si="18">B20-B9</f>
        <v>99463.802945008007</v>
      </c>
      <c r="C31" s="1">
        <f t="shared" si="18"/>
        <v>98897.022869264998</v>
      </c>
      <c r="D31" s="1">
        <f t="shared" si="18"/>
        <v>98754.805976828997</v>
      </c>
      <c r="E31" s="1">
        <f t="shared" si="18"/>
        <v>98949.385862440002</v>
      </c>
      <c r="F31" s="1">
        <f t="shared" si="18"/>
        <v>98865.410060350012</v>
      </c>
      <c r="G31" s="1">
        <f t="shared" si="18"/>
        <v>99114.795855913995</v>
      </c>
      <c r="H31" s="1">
        <f t="shared" si="18"/>
        <v>98813.025399157996</v>
      </c>
      <c r="I31" s="1">
        <f t="shared" si="18"/>
        <v>99253.734183574998</v>
      </c>
      <c r="M31" s="2">
        <v>9.9933691000000005E-2</v>
      </c>
      <c r="N31" s="2">
        <v>9.9404841999999993E-2</v>
      </c>
      <c r="O31" s="2">
        <v>9.9316999000000003E-2</v>
      </c>
      <c r="P31" s="2">
        <v>9.9535227000000004E-2</v>
      </c>
      <c r="Q31" s="2">
        <v>9.9538684000000002E-2</v>
      </c>
      <c r="R31" s="2">
        <v>9.9630213999999995E-2</v>
      </c>
      <c r="S31" s="2">
        <v>9.9320835999999996E-2</v>
      </c>
      <c r="T31" s="2">
        <v>9.9818251999999996E-2</v>
      </c>
    </row>
    <row r="32" spans="1:20" x14ac:dyDescent="0.25">
      <c r="A32">
        <v>140000</v>
      </c>
      <c r="B32" s="1">
        <f t="shared" ref="B32:I32" si="19">B21-B10</f>
        <v>139158.17065708301</v>
      </c>
      <c r="C32" s="1">
        <f t="shared" si="19"/>
        <v>138444.95556009098</v>
      </c>
      <c r="D32" s="1">
        <f t="shared" si="19"/>
        <v>138238.47069447002</v>
      </c>
      <c r="E32" s="1">
        <f t="shared" si="19"/>
        <v>138512.711537814</v>
      </c>
      <c r="F32" s="1">
        <f t="shared" si="19"/>
        <v>138361.67379885301</v>
      </c>
      <c r="G32" s="1">
        <f t="shared" si="19"/>
        <v>138724.903538813</v>
      </c>
      <c r="H32" s="1">
        <f t="shared" si="19"/>
        <v>138223.91226017798</v>
      </c>
      <c r="I32" s="1">
        <f t="shared" si="19"/>
        <v>138909.79798166003</v>
      </c>
      <c r="M32" s="2">
        <v>0.115392119</v>
      </c>
      <c r="N32" s="2">
        <v>0.114875093</v>
      </c>
      <c r="O32" s="2">
        <v>0.115960464</v>
      </c>
      <c r="P32" s="2">
        <v>0.11542680900000001</v>
      </c>
      <c r="Q32" s="2">
        <v>0.115831979</v>
      </c>
      <c r="R32" s="2">
        <v>0.11576631699999999</v>
      </c>
      <c r="S32" s="2">
        <v>0.114771701</v>
      </c>
      <c r="T32" s="2">
        <v>0.115635246</v>
      </c>
    </row>
    <row r="33" spans="1:20" x14ac:dyDescent="0.25">
      <c r="M33" s="2">
        <v>4.041083E-3</v>
      </c>
      <c r="N33" s="2">
        <v>4.0259090000000003E-3</v>
      </c>
      <c r="O33" s="2">
        <v>4.0452739999999997E-3</v>
      </c>
      <c r="P33" s="2">
        <v>4.0341999999999999E-3</v>
      </c>
      <c r="Q33" s="2">
        <v>4.0290910000000003E-3</v>
      </c>
      <c r="R33" s="2">
        <v>4.0408730000000004E-3</v>
      </c>
      <c r="S33" s="2">
        <v>4.0195680000000003E-3</v>
      </c>
      <c r="T33" s="2">
        <v>4.0306450000000002E-3</v>
      </c>
    </row>
    <row r="34" spans="1:20" x14ac:dyDescent="0.25">
      <c r="M34" s="2">
        <v>4.0646909999999996E-3</v>
      </c>
      <c r="N34" s="2">
        <v>4.0529540000000001E-3</v>
      </c>
      <c r="O34" s="2">
        <v>4.0723039999999997E-3</v>
      </c>
      <c r="P34" s="2">
        <v>4.0534250000000003E-3</v>
      </c>
      <c r="Q34" s="2">
        <v>4.0509389999999999E-3</v>
      </c>
      <c r="R34" s="2">
        <v>4.070377E-3</v>
      </c>
      <c r="S34" s="2">
        <v>4.0432030000000004E-3</v>
      </c>
      <c r="T34" s="2">
        <v>4.0630459999999998E-3</v>
      </c>
    </row>
    <row r="35" spans="1:20" x14ac:dyDescent="0.25">
      <c r="A35" s="4" t="s">
        <v>5</v>
      </c>
      <c r="B35" s="4"/>
      <c r="C35" s="4"/>
      <c r="D35" s="4"/>
      <c r="E35" s="4"/>
      <c r="F35" s="4"/>
      <c r="G35" s="4"/>
      <c r="H35" s="4"/>
      <c r="I35" s="4"/>
      <c r="M35" s="2">
        <v>4.1493040000000004E-3</v>
      </c>
      <c r="N35" s="2">
        <v>4.1331240000000002E-3</v>
      </c>
      <c r="O35" s="2">
        <v>4.159622E-3</v>
      </c>
      <c r="P35" s="2">
        <v>4.1548879999999998E-3</v>
      </c>
      <c r="Q35" s="2">
        <v>4.1362200000000003E-3</v>
      </c>
      <c r="R35" s="2">
        <v>4.1503829999999997E-3</v>
      </c>
      <c r="S35" s="2">
        <v>4.1330869999999997E-3</v>
      </c>
      <c r="T35" s="2">
        <v>4.1555330000000003E-3</v>
      </c>
    </row>
    <row r="36" spans="1:20" x14ac:dyDescent="0.25">
      <c r="A36" t="s">
        <v>1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M36" s="2">
        <v>6.3691060000000002E-3</v>
      </c>
      <c r="N36" s="2">
        <v>6.3543999999999996E-3</v>
      </c>
      <c r="O36" s="2">
        <v>6.367167E-3</v>
      </c>
      <c r="P36" s="2">
        <v>6.3628349999999998E-3</v>
      </c>
      <c r="Q36" s="2">
        <v>6.3498629999999999E-3</v>
      </c>
      <c r="R36" s="2">
        <v>6.361986E-3</v>
      </c>
      <c r="S36" s="2">
        <v>6.325766E-3</v>
      </c>
      <c r="T36" s="2">
        <v>6.3543999999999996E-3</v>
      </c>
    </row>
    <row r="37" spans="1:20" x14ac:dyDescent="0.25">
      <c r="A37">
        <v>100</v>
      </c>
      <c r="B37" s="3">
        <f t="shared" ref="B37:I44" si="20">M17</f>
        <v>4.0308339999999996E-3</v>
      </c>
      <c r="C37" s="3">
        <f t="shared" si="20"/>
        <v>3.9984479999999999E-3</v>
      </c>
      <c r="D37" s="3">
        <f t="shared" si="20"/>
        <v>4.0352239999999996E-3</v>
      </c>
      <c r="E37" s="3">
        <f t="shared" si="20"/>
        <v>4.0295009999999996E-3</v>
      </c>
      <c r="F37" s="3">
        <f t="shared" si="20"/>
        <v>4.0122760000000004E-3</v>
      </c>
      <c r="G37" s="3">
        <f t="shared" si="20"/>
        <v>4.0274229999999996E-3</v>
      </c>
      <c r="H37" s="3">
        <f t="shared" si="20"/>
        <v>4.0078229999999998E-3</v>
      </c>
      <c r="I37" s="3">
        <f t="shared" si="20"/>
        <v>4.025041E-3</v>
      </c>
      <c r="M37" s="2">
        <v>1.0688616E-2</v>
      </c>
      <c r="N37" s="2">
        <v>1.0688527E-2</v>
      </c>
      <c r="O37" s="2">
        <v>1.0686635999999999E-2</v>
      </c>
      <c r="P37" s="2">
        <v>1.069579E-2</v>
      </c>
      <c r="Q37" s="2">
        <v>1.0668596000000001E-2</v>
      </c>
      <c r="R37" s="2">
        <v>1.0692108000000001E-2</v>
      </c>
      <c r="S37" s="2">
        <v>1.0629586E-2</v>
      </c>
      <c r="T37" s="2">
        <v>1.0667519E-2</v>
      </c>
    </row>
    <row r="38" spans="1:20" x14ac:dyDescent="0.25">
      <c r="A38">
        <v>500</v>
      </c>
      <c r="B38" s="3">
        <f t="shared" si="20"/>
        <v>4.062586E-3</v>
      </c>
      <c r="C38" s="3">
        <f t="shared" si="20"/>
        <v>4.0421800000000003E-3</v>
      </c>
      <c r="D38" s="3">
        <f t="shared" si="20"/>
        <v>4.0625840000000002E-3</v>
      </c>
      <c r="E38" s="3">
        <f t="shared" si="20"/>
        <v>4.0495710000000001E-3</v>
      </c>
      <c r="F38" s="3">
        <f t="shared" si="20"/>
        <v>4.0454790000000003E-3</v>
      </c>
      <c r="G38" s="3">
        <f t="shared" si="20"/>
        <v>4.052567E-3</v>
      </c>
      <c r="H38" s="3">
        <f t="shared" si="20"/>
        <v>4.0307590000000001E-3</v>
      </c>
      <c r="I38" s="3">
        <f t="shared" si="20"/>
        <v>4.0563489999999999E-3</v>
      </c>
      <c r="M38" s="2">
        <v>4.9569741E-2</v>
      </c>
      <c r="N38" s="2">
        <v>4.9610979999999999E-2</v>
      </c>
      <c r="O38" s="2">
        <v>4.955275E-2</v>
      </c>
      <c r="P38" s="2">
        <v>4.9612783000000001E-2</v>
      </c>
      <c r="Q38" s="2">
        <v>4.9507335E-2</v>
      </c>
      <c r="R38" s="2">
        <v>4.9620122000000003E-2</v>
      </c>
      <c r="S38" s="2">
        <v>4.9317743999999997E-2</v>
      </c>
      <c r="T38" s="2">
        <v>4.9447975999999998E-2</v>
      </c>
    </row>
    <row r="39" spans="1:20" x14ac:dyDescent="0.25">
      <c r="A39">
        <v>1000</v>
      </c>
      <c r="B39" s="3">
        <f t="shared" si="20"/>
        <v>4.1472790000000002E-3</v>
      </c>
      <c r="C39" s="3">
        <f t="shared" si="20"/>
        <v>4.135176E-3</v>
      </c>
      <c r="D39" s="3">
        <f t="shared" si="20"/>
        <v>4.1519900000000004E-3</v>
      </c>
      <c r="E39" s="3">
        <f t="shared" si="20"/>
        <v>4.1484699999999996E-3</v>
      </c>
      <c r="F39" s="3">
        <f t="shared" si="20"/>
        <v>4.1264429999999996E-3</v>
      </c>
      <c r="G39" s="3">
        <f t="shared" si="20"/>
        <v>4.132195E-3</v>
      </c>
      <c r="H39" s="3">
        <f t="shared" si="20"/>
        <v>4.120673E-3</v>
      </c>
      <c r="I39" s="3">
        <f t="shared" si="20"/>
        <v>4.1427670000000003E-3</v>
      </c>
      <c r="M39" s="2">
        <v>9.9044159000000007E-2</v>
      </c>
      <c r="N39" s="2">
        <v>9.9128625999999997E-2</v>
      </c>
      <c r="O39" s="2">
        <v>9.9016278999999999E-2</v>
      </c>
      <c r="P39" s="2">
        <v>9.9136926E-2</v>
      </c>
      <c r="Q39" s="2">
        <v>9.8933204999999996E-2</v>
      </c>
      <c r="R39" s="2">
        <v>9.9137373000000001E-2</v>
      </c>
      <c r="S39" s="2">
        <v>9.8594345E-2</v>
      </c>
      <c r="T39" s="2">
        <v>9.8810665000000006E-2</v>
      </c>
    </row>
    <row r="40" spans="1:20" x14ac:dyDescent="0.25">
      <c r="A40">
        <v>5000</v>
      </c>
      <c r="B40" s="3">
        <f t="shared" si="20"/>
        <v>6.3646939999999997E-3</v>
      </c>
      <c r="C40" s="3">
        <f t="shared" si="20"/>
        <v>6.3463139999999996E-3</v>
      </c>
      <c r="D40" s="3">
        <f t="shared" si="20"/>
        <v>6.3609299999999999E-3</v>
      </c>
      <c r="E40" s="3">
        <f t="shared" si="20"/>
        <v>6.356843E-3</v>
      </c>
      <c r="F40" s="3">
        <f t="shared" si="20"/>
        <v>6.3378660000000002E-3</v>
      </c>
      <c r="G40" s="3">
        <f t="shared" si="20"/>
        <v>6.3621850000000002E-3</v>
      </c>
      <c r="H40" s="3">
        <f t="shared" si="20"/>
        <v>6.3259420000000002E-3</v>
      </c>
      <c r="I40" s="3">
        <f t="shared" si="20"/>
        <v>6.3506719999999999E-3</v>
      </c>
      <c r="M40" s="2">
        <v>0.13834387100000001</v>
      </c>
      <c r="N40" s="2">
        <v>0.13842323400000001</v>
      </c>
      <c r="O40" s="2">
        <v>0.13828243300000001</v>
      </c>
      <c r="P40" s="2">
        <v>0.13846355699999999</v>
      </c>
      <c r="Q40" s="2">
        <v>0.13819363700000001</v>
      </c>
      <c r="R40" s="2">
        <v>0.13846314000000001</v>
      </c>
      <c r="S40" s="2">
        <v>0.13773295299999999</v>
      </c>
      <c r="T40" s="2">
        <v>0.138026133</v>
      </c>
    </row>
    <row r="41" spans="1:20" x14ac:dyDescent="0.25">
      <c r="A41">
        <v>10000</v>
      </c>
      <c r="B41" s="3">
        <f t="shared" si="20"/>
        <v>1.0686335E-2</v>
      </c>
      <c r="C41" s="3">
        <f t="shared" si="20"/>
        <v>1.0691785000000001E-2</v>
      </c>
      <c r="D41" s="3">
        <f t="shared" si="20"/>
        <v>1.0685261E-2</v>
      </c>
      <c r="E41" s="3">
        <f t="shared" si="20"/>
        <v>1.0688903E-2</v>
      </c>
      <c r="F41" s="3">
        <f t="shared" si="20"/>
        <v>1.0663494000000001E-2</v>
      </c>
      <c r="G41" s="3">
        <f t="shared" si="20"/>
        <v>1.06917E-2</v>
      </c>
      <c r="H41" s="3">
        <f t="shared" si="20"/>
        <v>1.0625786E-2</v>
      </c>
      <c r="I41" s="3">
        <f t="shared" si="20"/>
        <v>1.0663906000000001E-2</v>
      </c>
      <c r="M41" s="2">
        <v>3.6806505499999999E-4</v>
      </c>
      <c r="N41" s="2">
        <v>3.7125189600000001E-4</v>
      </c>
      <c r="O41" s="2">
        <v>3.7903536600000001E-4</v>
      </c>
      <c r="P41" s="2">
        <v>3.7815072599999998E-4</v>
      </c>
      <c r="Q41" s="2">
        <v>3.78053839E-4</v>
      </c>
      <c r="R41" s="2">
        <v>3.7601485399999998E-4</v>
      </c>
      <c r="S41" s="2">
        <v>3.7398724799999998E-4</v>
      </c>
      <c r="T41" s="2">
        <v>3.8375755E-4</v>
      </c>
    </row>
    <row r="42" spans="1:20" x14ac:dyDescent="0.25">
      <c r="A42">
        <v>50000</v>
      </c>
      <c r="B42" s="3">
        <f t="shared" si="20"/>
        <v>4.9571118999999997E-2</v>
      </c>
      <c r="C42" s="3">
        <f t="shared" si="20"/>
        <v>4.9614265999999997E-2</v>
      </c>
      <c r="D42" s="3">
        <f t="shared" si="20"/>
        <v>4.9551579999999998E-2</v>
      </c>
      <c r="E42" s="3">
        <f t="shared" si="20"/>
        <v>4.9615707000000002E-2</v>
      </c>
      <c r="F42" s="3">
        <f t="shared" si="20"/>
        <v>4.9505661999999999E-2</v>
      </c>
      <c r="G42" s="3">
        <f t="shared" si="20"/>
        <v>4.9618106000000002E-2</v>
      </c>
      <c r="H42" s="3">
        <f t="shared" si="20"/>
        <v>4.9320313999999997E-2</v>
      </c>
      <c r="I42" s="3">
        <f t="shared" si="20"/>
        <v>4.9448974E-2</v>
      </c>
      <c r="M42" s="2">
        <v>2.2089480000000001E-3</v>
      </c>
      <c r="N42" s="2">
        <v>2.206104E-3</v>
      </c>
      <c r="O42" s="2">
        <v>2.2082270000000001E-3</v>
      </c>
      <c r="P42" s="2">
        <v>2.201592E-3</v>
      </c>
      <c r="Q42" s="2">
        <v>2.1960119999999998E-3</v>
      </c>
      <c r="R42" s="2">
        <v>2.2187130000000002E-3</v>
      </c>
      <c r="S42" s="2">
        <v>2.2204439999999998E-3</v>
      </c>
      <c r="T42" s="2">
        <v>2.1947949999999998E-3</v>
      </c>
    </row>
    <row r="43" spans="1:20" x14ac:dyDescent="0.25">
      <c r="A43">
        <v>100000</v>
      </c>
      <c r="B43" s="3">
        <f t="shared" si="20"/>
        <v>9.9043145999999999E-2</v>
      </c>
      <c r="C43" s="3">
        <f t="shared" si="20"/>
        <v>9.9117047999999999E-2</v>
      </c>
      <c r="D43" s="3">
        <f t="shared" si="20"/>
        <v>9.9011518000000007E-2</v>
      </c>
      <c r="E43" s="3">
        <f t="shared" si="20"/>
        <v>9.9132209999999998E-2</v>
      </c>
      <c r="F43" s="3">
        <f t="shared" si="20"/>
        <v>9.8933390999999996E-2</v>
      </c>
      <c r="G43" s="3">
        <f t="shared" si="20"/>
        <v>9.9137977000000002E-2</v>
      </c>
      <c r="H43" s="3">
        <f t="shared" si="20"/>
        <v>9.8595969000000006E-2</v>
      </c>
      <c r="I43" s="3">
        <f t="shared" si="20"/>
        <v>9.8806917999999994E-2</v>
      </c>
      <c r="M43" s="2">
        <v>4.7810029999999998E-3</v>
      </c>
      <c r="N43" s="2">
        <v>4.7568580000000001E-3</v>
      </c>
      <c r="O43" s="2">
        <v>4.7686300000000003E-3</v>
      </c>
      <c r="P43" s="2">
        <v>4.7667480000000003E-3</v>
      </c>
      <c r="Q43" s="2">
        <v>4.766518E-3</v>
      </c>
      <c r="R43" s="2">
        <v>4.7925260000000001E-3</v>
      </c>
      <c r="S43" s="2">
        <v>4.7915939999999997E-3</v>
      </c>
      <c r="T43" s="2">
        <v>4.7714239999999998E-3</v>
      </c>
    </row>
    <row r="44" spans="1:20" x14ac:dyDescent="0.25">
      <c r="A44">
        <v>140000</v>
      </c>
      <c r="B44" s="3">
        <f t="shared" si="20"/>
        <v>0.138339356</v>
      </c>
      <c r="C44" s="3">
        <f t="shared" si="20"/>
        <v>0.138413221</v>
      </c>
      <c r="D44" s="3">
        <f t="shared" si="20"/>
        <v>0.138288617</v>
      </c>
      <c r="E44" s="3">
        <f t="shared" si="20"/>
        <v>0.13845501800000001</v>
      </c>
      <c r="F44" s="3">
        <f t="shared" si="20"/>
        <v>0.13819540999999999</v>
      </c>
      <c r="G44" s="3">
        <f t="shared" si="20"/>
        <v>0.13845723900000001</v>
      </c>
      <c r="H44" s="3">
        <f t="shared" si="20"/>
        <v>0.13772721600000001</v>
      </c>
      <c r="I44" s="3">
        <f t="shared" si="20"/>
        <v>0.13802057500000001</v>
      </c>
      <c r="M44" s="2">
        <v>2.4974203E-2</v>
      </c>
      <c r="N44" s="2">
        <v>2.4850540000000001E-2</v>
      </c>
      <c r="O44" s="2">
        <v>2.4894880000000001E-2</v>
      </c>
      <c r="P44" s="2">
        <v>2.4924001000000001E-2</v>
      </c>
      <c r="Q44" s="2">
        <v>2.4862535000000002E-2</v>
      </c>
      <c r="R44" s="2">
        <v>2.4954664000000001E-2</v>
      </c>
      <c r="S44" s="2">
        <v>2.4966775E-2</v>
      </c>
      <c r="T44" s="2">
        <v>2.4894197E-2</v>
      </c>
    </row>
    <row r="45" spans="1:20" x14ac:dyDescent="0.25">
      <c r="M45" s="2">
        <v>5.0035785999999999E-2</v>
      </c>
      <c r="N45" s="2">
        <v>4.981555E-2</v>
      </c>
      <c r="O45" s="2">
        <v>4.9851092999999999E-2</v>
      </c>
      <c r="P45" s="2">
        <v>4.9931910000000003E-2</v>
      </c>
      <c r="Q45" s="2">
        <v>4.9838926999999998E-2</v>
      </c>
      <c r="R45" s="2">
        <v>4.9978644000000003E-2</v>
      </c>
      <c r="S45" s="2">
        <v>5.0006374999999999E-2</v>
      </c>
      <c r="T45" s="2">
        <v>4.989681E-2</v>
      </c>
    </row>
    <row r="46" spans="1:20" x14ac:dyDescent="0.25">
      <c r="A46" s="4" t="s">
        <v>6</v>
      </c>
      <c r="B46" s="4"/>
      <c r="C46" s="4"/>
      <c r="D46" s="4"/>
      <c r="E46" s="4"/>
      <c r="F46" s="4"/>
      <c r="G46" s="4"/>
      <c r="H46" s="4"/>
      <c r="I46" s="4"/>
      <c r="M46" s="2">
        <v>0.24991065300000001</v>
      </c>
      <c r="N46" s="2">
        <v>0.24891482300000001</v>
      </c>
      <c r="O46" s="2">
        <v>0.24915237700000001</v>
      </c>
      <c r="P46" s="2">
        <v>0.249297097</v>
      </c>
      <c r="Q46" s="2">
        <v>0.249018505</v>
      </c>
      <c r="R46" s="2">
        <v>0.24969960699999999</v>
      </c>
      <c r="S46" s="2">
        <v>0.249708235</v>
      </c>
      <c r="T46" s="2">
        <v>0.249283642</v>
      </c>
    </row>
    <row r="47" spans="1:20" x14ac:dyDescent="0.25">
      <c r="A47" t="s">
        <v>1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M47" s="2">
        <v>0.49994298799999998</v>
      </c>
      <c r="N47" s="2">
        <v>0.49801972500000002</v>
      </c>
      <c r="O47" s="2">
        <v>0.49843615299999999</v>
      </c>
      <c r="P47" s="2">
        <v>0.498735547</v>
      </c>
      <c r="Q47" s="2">
        <v>0.49806904800000001</v>
      </c>
      <c r="R47" s="2">
        <v>0.49957165100000001</v>
      </c>
      <c r="S47" s="2">
        <v>0.49891078500000002</v>
      </c>
      <c r="T47" s="2">
        <v>0.49861705299999998</v>
      </c>
    </row>
    <row r="48" spans="1:20" x14ac:dyDescent="0.25">
      <c r="A48">
        <v>100</v>
      </c>
      <c r="B48" s="3">
        <f>M25*1000000</f>
        <v>100.724108</v>
      </c>
      <c r="C48" s="3">
        <f t="shared" ref="C48:I48" si="21">N25*1000000</f>
        <v>100.932084</v>
      </c>
      <c r="D48" s="3">
        <f t="shared" si="21"/>
        <v>97.647462000000004</v>
      </c>
      <c r="E48" s="3">
        <f t="shared" si="21"/>
        <v>101.632897</v>
      </c>
      <c r="F48" s="3">
        <f t="shared" si="21"/>
        <v>99.870463999999998</v>
      </c>
      <c r="G48" s="3">
        <f t="shared" si="21"/>
        <v>101.59576</v>
      </c>
      <c r="H48" s="3">
        <f t="shared" si="21"/>
        <v>98.418938999999995</v>
      </c>
      <c r="I48" s="3">
        <f t="shared" si="21"/>
        <v>103.471219</v>
      </c>
      <c r="M48" s="2">
        <v>0.698749065</v>
      </c>
      <c r="N48" s="2">
        <v>0.69671452</v>
      </c>
      <c r="O48" s="2">
        <v>0.69651699099999997</v>
      </c>
      <c r="P48" s="2">
        <v>0.69736784699999999</v>
      </c>
      <c r="Q48" s="2">
        <v>0.69622188799999996</v>
      </c>
      <c r="R48" s="2">
        <v>0.69872641599999996</v>
      </c>
      <c r="S48" s="2">
        <v>0.69720166900000002</v>
      </c>
      <c r="T48" s="2">
        <v>0.69707477100000004</v>
      </c>
    </row>
    <row r="49" spans="1:9" x14ac:dyDescent="0.25">
      <c r="A49">
        <v>500</v>
      </c>
      <c r="B49" s="3">
        <f t="shared" ref="B49:B55" si="22">M26*1000000</f>
        <v>471.96517700000004</v>
      </c>
      <c r="C49" s="3">
        <f t="shared" ref="C49:C55" si="23">N26*1000000</f>
        <v>463.80129099999999</v>
      </c>
      <c r="D49" s="3">
        <f t="shared" ref="D49:D55" si="24">O26*1000000</f>
        <v>459.05381599999998</v>
      </c>
      <c r="E49" s="3">
        <f t="shared" ref="E49:E55" si="25">P26*1000000</f>
        <v>471.72090900000001</v>
      </c>
      <c r="F49" s="3">
        <f t="shared" ref="F49:F55" si="26">Q26*1000000</f>
        <v>461.68934199999995</v>
      </c>
      <c r="G49" s="3">
        <f t="shared" ref="G49:G55" si="27">R26*1000000</f>
        <v>469.04600500000004</v>
      </c>
      <c r="H49" s="3">
        <f t="shared" ref="H49:H55" si="28">S26*1000000</f>
        <v>463.20882399999999</v>
      </c>
      <c r="I49" s="3">
        <f t="shared" ref="I49:I55" si="29">T26*1000000</f>
        <v>465.76978600000001</v>
      </c>
    </row>
    <row r="50" spans="1:9" x14ac:dyDescent="0.25">
      <c r="A50">
        <v>1000</v>
      </c>
      <c r="B50" s="3">
        <f t="shared" si="22"/>
        <v>981.55508699999996</v>
      </c>
      <c r="C50" s="3">
        <f t="shared" si="23"/>
        <v>968.71220699999992</v>
      </c>
      <c r="D50" s="3">
        <f t="shared" si="24"/>
        <v>969.31832400000008</v>
      </c>
      <c r="E50" s="3">
        <f t="shared" si="25"/>
        <v>970.32083399999999</v>
      </c>
      <c r="F50" s="3">
        <f t="shared" si="26"/>
        <v>971.0689769999999</v>
      </c>
      <c r="G50" s="3">
        <f t="shared" si="27"/>
        <v>976.10981900000002</v>
      </c>
      <c r="H50" s="3">
        <f t="shared" si="28"/>
        <v>977.83550200000002</v>
      </c>
      <c r="I50" s="3">
        <f t="shared" si="29"/>
        <v>973.73884599999997</v>
      </c>
    </row>
    <row r="51" spans="1:9" x14ac:dyDescent="0.25">
      <c r="A51">
        <v>5000</v>
      </c>
      <c r="B51" s="3">
        <f t="shared" si="22"/>
        <v>4994.6310000000003</v>
      </c>
      <c r="C51" s="3">
        <f t="shared" si="23"/>
        <v>4963.357</v>
      </c>
      <c r="D51" s="3">
        <f t="shared" si="24"/>
        <v>4956.8779999999997</v>
      </c>
      <c r="E51" s="3">
        <f t="shared" si="25"/>
        <v>4978.0940000000001</v>
      </c>
      <c r="F51" s="3">
        <f t="shared" si="26"/>
        <v>4967.098</v>
      </c>
      <c r="G51" s="3">
        <f t="shared" si="27"/>
        <v>4976.5219999999999</v>
      </c>
      <c r="H51" s="3">
        <f t="shared" si="28"/>
        <v>4970.6129999999994</v>
      </c>
      <c r="I51" s="3">
        <f t="shared" si="29"/>
        <v>4982.5590000000002</v>
      </c>
    </row>
    <row r="52" spans="1:9" x14ac:dyDescent="0.25">
      <c r="A52">
        <v>10000</v>
      </c>
      <c r="B52" s="3">
        <f t="shared" si="22"/>
        <v>10021.461000000001</v>
      </c>
      <c r="C52" s="3">
        <f t="shared" si="23"/>
        <v>9949.5030000000006</v>
      </c>
      <c r="D52" s="3">
        <f t="shared" si="24"/>
        <v>9938.7849999999999</v>
      </c>
      <c r="E52" s="3">
        <f t="shared" si="25"/>
        <v>9969.2259999999987</v>
      </c>
      <c r="F52" s="3">
        <f t="shared" si="26"/>
        <v>9953.273000000001</v>
      </c>
      <c r="G52" s="3">
        <f t="shared" si="27"/>
        <v>9979.5939999999991</v>
      </c>
      <c r="H52" s="3">
        <f t="shared" si="28"/>
        <v>9966.0329999999994</v>
      </c>
      <c r="I52" s="3">
        <f t="shared" si="29"/>
        <v>9989.982</v>
      </c>
    </row>
    <row r="53" spans="1:9" x14ac:dyDescent="0.25">
      <c r="A53">
        <v>50000</v>
      </c>
      <c r="B53" s="3">
        <f t="shared" si="22"/>
        <v>50009.821000000004</v>
      </c>
      <c r="C53" s="3">
        <f t="shared" si="23"/>
        <v>49715.385000000002</v>
      </c>
      <c r="D53" s="3">
        <f t="shared" si="24"/>
        <v>49672.413999999997</v>
      </c>
      <c r="E53" s="3">
        <f t="shared" si="25"/>
        <v>49789.421000000002</v>
      </c>
      <c r="F53" s="3">
        <f t="shared" si="26"/>
        <v>49768.403000000006</v>
      </c>
      <c r="G53" s="3">
        <f t="shared" si="27"/>
        <v>49829.61</v>
      </c>
      <c r="H53" s="3">
        <f t="shared" si="28"/>
        <v>49733.762000000002</v>
      </c>
      <c r="I53" s="3">
        <f t="shared" si="29"/>
        <v>49931.228000000003</v>
      </c>
    </row>
    <row r="54" spans="1:9" x14ac:dyDescent="0.25">
      <c r="A54">
        <v>100000</v>
      </c>
      <c r="B54" s="3">
        <f t="shared" si="22"/>
        <v>99933.691000000006</v>
      </c>
      <c r="C54" s="3">
        <f t="shared" si="23"/>
        <v>99404.84199999999</v>
      </c>
      <c r="D54" s="3">
        <f t="shared" si="24"/>
        <v>99316.998999999996</v>
      </c>
      <c r="E54" s="3">
        <f t="shared" si="25"/>
        <v>99535.226999999999</v>
      </c>
      <c r="F54" s="3">
        <f t="shared" si="26"/>
        <v>99538.684000000008</v>
      </c>
      <c r="G54" s="3">
        <f t="shared" si="27"/>
        <v>99630.213999999993</v>
      </c>
      <c r="H54" s="3">
        <f t="shared" si="28"/>
        <v>99320.835999999996</v>
      </c>
      <c r="I54" s="3">
        <f t="shared" si="29"/>
        <v>99818.251999999993</v>
      </c>
    </row>
    <row r="55" spans="1:9" x14ac:dyDescent="0.25">
      <c r="A55">
        <v>140000</v>
      </c>
      <c r="B55" s="3">
        <f t="shared" si="22"/>
        <v>115392.11900000001</v>
      </c>
      <c r="C55" s="3">
        <f t="shared" si="23"/>
        <v>114875.09299999999</v>
      </c>
      <c r="D55" s="3">
        <f t="shared" si="24"/>
        <v>115960.46399999999</v>
      </c>
      <c r="E55" s="3">
        <f t="shared" si="25"/>
        <v>115426.80900000001</v>
      </c>
      <c r="F55" s="3">
        <f t="shared" si="26"/>
        <v>115831.97900000001</v>
      </c>
      <c r="G55" s="3">
        <f t="shared" si="27"/>
        <v>115766.317</v>
      </c>
      <c r="H55" s="3">
        <f t="shared" si="28"/>
        <v>114771.701</v>
      </c>
      <c r="I55" s="3">
        <f t="shared" si="29"/>
        <v>115635.246</v>
      </c>
    </row>
    <row r="57" spans="1:9" x14ac:dyDescent="0.25">
      <c r="A57" s="5" t="s">
        <v>7</v>
      </c>
      <c r="B57" s="5"/>
      <c r="C57" s="5"/>
      <c r="D57" s="5"/>
      <c r="E57" s="5"/>
      <c r="F57" s="5"/>
      <c r="G57" s="5"/>
      <c r="H57" s="5"/>
      <c r="I57" s="5"/>
    </row>
    <row r="58" spans="1:9" x14ac:dyDescent="0.25">
      <c r="A58" t="s">
        <v>0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v>7</v>
      </c>
      <c r="I58">
        <v>8</v>
      </c>
    </row>
    <row r="59" spans="1:9" x14ac:dyDescent="0.25">
      <c r="A59">
        <v>100</v>
      </c>
      <c r="B59" s="1">
        <f>B48-B37</f>
        <v>100.720077166</v>
      </c>
      <c r="C59" s="1">
        <f t="shared" ref="C59:I59" si="30">C48-C37</f>
        <v>100.928085552</v>
      </c>
      <c r="D59" s="1">
        <f t="shared" si="30"/>
        <v>97.643426775999998</v>
      </c>
      <c r="E59" s="1">
        <f t="shared" si="30"/>
        <v>101.62886749899999</v>
      </c>
      <c r="F59" s="1">
        <f t="shared" si="30"/>
        <v>99.866451724000001</v>
      </c>
      <c r="G59" s="1">
        <f t="shared" si="30"/>
        <v>101.591732577</v>
      </c>
      <c r="H59" s="1">
        <f t="shared" si="30"/>
        <v>98.414931177</v>
      </c>
      <c r="I59" s="1">
        <f t="shared" si="30"/>
        <v>103.467193959</v>
      </c>
    </row>
    <row r="60" spans="1:9" x14ac:dyDescent="0.25">
      <c r="A60">
        <v>500</v>
      </c>
      <c r="B60" s="1">
        <f t="shared" ref="B60:I60" si="31">B49-B38</f>
        <v>471.96111441400006</v>
      </c>
      <c r="C60" s="1">
        <f t="shared" si="31"/>
        <v>463.79724881999999</v>
      </c>
      <c r="D60" s="1">
        <f t="shared" si="31"/>
        <v>459.04975341599999</v>
      </c>
      <c r="E60" s="1">
        <f t="shared" si="31"/>
        <v>471.71685942900001</v>
      </c>
      <c r="F60" s="1">
        <f t="shared" si="31"/>
        <v>461.68529652099994</v>
      </c>
      <c r="G60" s="1">
        <f t="shared" si="31"/>
        <v>469.04195243300006</v>
      </c>
      <c r="H60" s="1">
        <f t="shared" si="31"/>
        <v>463.204793241</v>
      </c>
      <c r="I60" s="1">
        <f t="shared" si="31"/>
        <v>465.76572965100002</v>
      </c>
    </row>
    <row r="61" spans="1:9" x14ac:dyDescent="0.25">
      <c r="A61">
        <v>1000</v>
      </c>
      <c r="B61" s="1">
        <f t="shared" ref="B61:I61" si="32">B50-B39</f>
        <v>981.55093972099996</v>
      </c>
      <c r="C61" s="1">
        <f t="shared" si="32"/>
        <v>968.70807182399994</v>
      </c>
      <c r="D61" s="1">
        <f t="shared" si="32"/>
        <v>969.31417201000011</v>
      </c>
      <c r="E61" s="1">
        <f t="shared" si="32"/>
        <v>970.31668552999997</v>
      </c>
      <c r="F61" s="1">
        <f t="shared" si="32"/>
        <v>971.06485055699989</v>
      </c>
      <c r="G61" s="1">
        <f t="shared" si="32"/>
        <v>976.105686805</v>
      </c>
      <c r="H61" s="1">
        <f t="shared" si="32"/>
        <v>977.83138132700003</v>
      </c>
      <c r="I61" s="1">
        <f t="shared" si="32"/>
        <v>973.734703233</v>
      </c>
    </row>
    <row r="62" spans="1:9" x14ac:dyDescent="0.25">
      <c r="A62">
        <v>5000</v>
      </c>
      <c r="B62" s="1">
        <f t="shared" ref="B62:I62" si="33">B51-B40</f>
        <v>4994.6246353060005</v>
      </c>
      <c r="C62" s="1">
        <f t="shared" si="33"/>
        <v>4963.3506536859995</v>
      </c>
      <c r="D62" s="1">
        <f t="shared" si="33"/>
        <v>4956.8716390700001</v>
      </c>
      <c r="E62" s="1">
        <f t="shared" si="33"/>
        <v>4978.0876431570005</v>
      </c>
      <c r="F62" s="1">
        <f t="shared" si="33"/>
        <v>4967.0916621340002</v>
      </c>
      <c r="G62" s="1">
        <f t="shared" si="33"/>
        <v>4976.5156378149995</v>
      </c>
      <c r="H62" s="1">
        <f t="shared" si="33"/>
        <v>4970.606674057999</v>
      </c>
      <c r="I62" s="1">
        <f t="shared" si="33"/>
        <v>4982.5526493280004</v>
      </c>
    </row>
    <row r="63" spans="1:9" x14ac:dyDescent="0.25">
      <c r="A63">
        <v>10000</v>
      </c>
      <c r="B63" s="1">
        <f t="shared" ref="B63:I63" si="34">B52-B41</f>
        <v>10021.450313665002</v>
      </c>
      <c r="C63" s="1">
        <f t="shared" si="34"/>
        <v>9949.4923082149999</v>
      </c>
      <c r="D63" s="1">
        <f t="shared" si="34"/>
        <v>9938.7743147389992</v>
      </c>
      <c r="E63" s="1">
        <f t="shared" si="34"/>
        <v>9969.2153110969994</v>
      </c>
      <c r="F63" s="1">
        <f t="shared" si="34"/>
        <v>9953.2623365060008</v>
      </c>
      <c r="G63" s="1">
        <f t="shared" si="34"/>
        <v>9979.5833082999998</v>
      </c>
      <c r="H63" s="1">
        <f t="shared" si="34"/>
        <v>9966.0223742139988</v>
      </c>
      <c r="I63" s="1">
        <f t="shared" si="34"/>
        <v>9989.9713360940004</v>
      </c>
    </row>
    <row r="64" spans="1:9" x14ac:dyDescent="0.25">
      <c r="A64">
        <v>50000</v>
      </c>
      <c r="B64" s="1">
        <f t="shared" ref="B64:I64" si="35">B53-B42</f>
        <v>50009.771428881002</v>
      </c>
      <c r="C64" s="1">
        <f t="shared" si="35"/>
        <v>49715.335385734004</v>
      </c>
      <c r="D64" s="1">
        <f t="shared" si="35"/>
        <v>49672.364448419998</v>
      </c>
      <c r="E64" s="1">
        <f t="shared" si="35"/>
        <v>49789.371384293001</v>
      </c>
      <c r="F64" s="1">
        <f t="shared" si="35"/>
        <v>49768.353494338007</v>
      </c>
      <c r="G64" s="1">
        <f t="shared" si="35"/>
        <v>49829.560381894</v>
      </c>
      <c r="H64" s="1">
        <f t="shared" si="35"/>
        <v>49733.712679686003</v>
      </c>
      <c r="I64" s="1">
        <f t="shared" si="35"/>
        <v>49931.178551026002</v>
      </c>
    </row>
    <row r="65" spans="1:9" x14ac:dyDescent="0.25">
      <c r="A65">
        <v>100000</v>
      </c>
      <c r="B65" s="1">
        <f t="shared" ref="B65:I65" si="36">B54-B43</f>
        <v>99933.591956854012</v>
      </c>
      <c r="C65" s="1">
        <f t="shared" si="36"/>
        <v>99404.742882951992</v>
      </c>
      <c r="D65" s="1">
        <f t="shared" si="36"/>
        <v>99316.899988481993</v>
      </c>
      <c r="E65" s="1">
        <f t="shared" si="36"/>
        <v>99535.127867789997</v>
      </c>
      <c r="F65" s="1">
        <f t="shared" si="36"/>
        <v>99538.585066609012</v>
      </c>
      <c r="G65" s="1">
        <f t="shared" si="36"/>
        <v>99630.114862022994</v>
      </c>
      <c r="H65" s="1">
        <f t="shared" si="36"/>
        <v>99320.737404030995</v>
      </c>
      <c r="I65" s="1">
        <f t="shared" si="36"/>
        <v>99818.153193081991</v>
      </c>
    </row>
    <row r="66" spans="1:9" x14ac:dyDescent="0.25">
      <c r="A66">
        <v>140000</v>
      </c>
      <c r="B66" s="1">
        <f t="shared" ref="B66:I66" si="37">B55-B44</f>
        <v>115391.98066064401</v>
      </c>
      <c r="C66" s="1">
        <f t="shared" si="37"/>
        <v>114874.954586779</v>
      </c>
      <c r="D66" s="1">
        <f t="shared" si="37"/>
        <v>115960.32571138299</v>
      </c>
      <c r="E66" s="1">
        <f t="shared" si="37"/>
        <v>115426.67054498201</v>
      </c>
      <c r="F66" s="1">
        <f t="shared" si="37"/>
        <v>115831.84080459</v>
      </c>
      <c r="G66" s="1">
        <f t="shared" si="37"/>
        <v>115766.178542761</v>
      </c>
      <c r="H66" s="1">
        <f t="shared" si="37"/>
        <v>114771.563272784</v>
      </c>
      <c r="I66" s="1">
        <f t="shared" si="37"/>
        <v>115635.107979425</v>
      </c>
    </row>
    <row r="68" spans="1:9" x14ac:dyDescent="0.25">
      <c r="A68" s="4" t="s">
        <v>8</v>
      </c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t="s">
        <v>1</v>
      </c>
      <c r="B69">
        <v>1</v>
      </c>
      <c r="C69">
        <v>2</v>
      </c>
      <c r="D69">
        <v>3</v>
      </c>
      <c r="E69">
        <v>4</v>
      </c>
      <c r="F69">
        <v>5</v>
      </c>
      <c r="G69">
        <v>6</v>
      </c>
      <c r="H69">
        <v>7</v>
      </c>
      <c r="I69">
        <v>8</v>
      </c>
    </row>
    <row r="70" spans="1:9" x14ac:dyDescent="0.25">
      <c r="A70">
        <v>100</v>
      </c>
      <c r="B70" s="3">
        <f>M33</f>
        <v>4.041083E-3</v>
      </c>
      <c r="C70" s="3">
        <f t="shared" ref="C70:I70" si="38">N33</f>
        <v>4.0259090000000003E-3</v>
      </c>
      <c r="D70" s="3">
        <f t="shared" si="38"/>
        <v>4.0452739999999997E-3</v>
      </c>
      <c r="E70" s="3">
        <f t="shared" si="38"/>
        <v>4.0341999999999999E-3</v>
      </c>
      <c r="F70" s="3">
        <f t="shared" si="38"/>
        <v>4.0290910000000003E-3</v>
      </c>
      <c r="G70" s="3">
        <f t="shared" si="38"/>
        <v>4.0408730000000004E-3</v>
      </c>
      <c r="H70" s="3">
        <f t="shared" si="38"/>
        <v>4.0195680000000003E-3</v>
      </c>
      <c r="I70" s="3">
        <f t="shared" si="38"/>
        <v>4.0306450000000002E-3</v>
      </c>
    </row>
    <row r="71" spans="1:9" x14ac:dyDescent="0.25">
      <c r="A71">
        <v>500</v>
      </c>
      <c r="B71" s="3">
        <f t="shared" ref="B71:B77" si="39">M34</f>
        <v>4.0646909999999996E-3</v>
      </c>
      <c r="C71" s="3">
        <f t="shared" ref="C71:C77" si="40">N34</f>
        <v>4.0529540000000001E-3</v>
      </c>
      <c r="D71" s="3">
        <f t="shared" ref="D71:D77" si="41">O34</f>
        <v>4.0723039999999997E-3</v>
      </c>
      <c r="E71" s="3">
        <f t="shared" ref="E71:E77" si="42">P34</f>
        <v>4.0534250000000003E-3</v>
      </c>
      <c r="F71" s="3">
        <f t="shared" ref="F71:F77" si="43">Q34</f>
        <v>4.0509389999999999E-3</v>
      </c>
      <c r="G71" s="3">
        <f t="shared" ref="G71:G77" si="44">R34</f>
        <v>4.070377E-3</v>
      </c>
      <c r="H71" s="3">
        <f t="shared" ref="H71:H77" si="45">S34</f>
        <v>4.0432030000000004E-3</v>
      </c>
      <c r="I71" s="3">
        <f t="shared" ref="I71:I77" si="46">T34</f>
        <v>4.0630459999999998E-3</v>
      </c>
    </row>
    <row r="72" spans="1:9" x14ac:dyDescent="0.25">
      <c r="A72">
        <v>1000</v>
      </c>
      <c r="B72" s="3">
        <f t="shared" si="39"/>
        <v>4.1493040000000004E-3</v>
      </c>
      <c r="C72" s="3">
        <f t="shared" si="40"/>
        <v>4.1331240000000002E-3</v>
      </c>
      <c r="D72" s="3">
        <f t="shared" si="41"/>
        <v>4.159622E-3</v>
      </c>
      <c r="E72" s="3">
        <f t="shared" si="42"/>
        <v>4.1548879999999998E-3</v>
      </c>
      <c r="F72" s="3">
        <f t="shared" si="43"/>
        <v>4.1362200000000003E-3</v>
      </c>
      <c r="G72" s="3">
        <f t="shared" si="44"/>
        <v>4.1503829999999997E-3</v>
      </c>
      <c r="H72" s="3">
        <f t="shared" si="45"/>
        <v>4.1330869999999997E-3</v>
      </c>
      <c r="I72" s="3">
        <f t="shared" si="46"/>
        <v>4.1555330000000003E-3</v>
      </c>
    </row>
    <row r="73" spans="1:9" x14ac:dyDescent="0.25">
      <c r="A73">
        <v>5000</v>
      </c>
      <c r="B73" s="3">
        <f t="shared" si="39"/>
        <v>6.3691060000000002E-3</v>
      </c>
      <c r="C73" s="3">
        <f t="shared" si="40"/>
        <v>6.3543999999999996E-3</v>
      </c>
      <c r="D73" s="3">
        <f t="shared" si="41"/>
        <v>6.367167E-3</v>
      </c>
      <c r="E73" s="3">
        <f t="shared" si="42"/>
        <v>6.3628349999999998E-3</v>
      </c>
      <c r="F73" s="3">
        <f t="shared" si="43"/>
        <v>6.3498629999999999E-3</v>
      </c>
      <c r="G73" s="3">
        <f t="shared" si="44"/>
        <v>6.361986E-3</v>
      </c>
      <c r="H73" s="3">
        <f t="shared" si="45"/>
        <v>6.325766E-3</v>
      </c>
      <c r="I73" s="3">
        <f t="shared" si="46"/>
        <v>6.3543999999999996E-3</v>
      </c>
    </row>
    <row r="74" spans="1:9" x14ac:dyDescent="0.25">
      <c r="A74">
        <v>10000</v>
      </c>
      <c r="B74" s="3">
        <f t="shared" si="39"/>
        <v>1.0688616E-2</v>
      </c>
      <c r="C74" s="3">
        <f t="shared" si="40"/>
        <v>1.0688527E-2</v>
      </c>
      <c r="D74" s="3">
        <f t="shared" si="41"/>
        <v>1.0686635999999999E-2</v>
      </c>
      <c r="E74" s="3">
        <f t="shared" si="42"/>
        <v>1.069579E-2</v>
      </c>
      <c r="F74" s="3">
        <f t="shared" si="43"/>
        <v>1.0668596000000001E-2</v>
      </c>
      <c r="G74" s="3">
        <f t="shared" si="44"/>
        <v>1.0692108000000001E-2</v>
      </c>
      <c r="H74" s="3">
        <f t="shared" si="45"/>
        <v>1.0629586E-2</v>
      </c>
      <c r="I74" s="3">
        <f t="shared" si="46"/>
        <v>1.0667519E-2</v>
      </c>
    </row>
    <row r="75" spans="1:9" x14ac:dyDescent="0.25">
      <c r="A75">
        <v>50000</v>
      </c>
      <c r="B75" s="3">
        <f t="shared" si="39"/>
        <v>4.9569741E-2</v>
      </c>
      <c r="C75" s="3">
        <f t="shared" si="40"/>
        <v>4.9610979999999999E-2</v>
      </c>
      <c r="D75" s="3">
        <f t="shared" si="41"/>
        <v>4.955275E-2</v>
      </c>
      <c r="E75" s="3">
        <f t="shared" si="42"/>
        <v>4.9612783000000001E-2</v>
      </c>
      <c r="F75" s="3">
        <f t="shared" si="43"/>
        <v>4.9507335E-2</v>
      </c>
      <c r="G75" s="3">
        <f t="shared" si="44"/>
        <v>4.9620122000000003E-2</v>
      </c>
      <c r="H75" s="3">
        <f t="shared" si="45"/>
        <v>4.9317743999999997E-2</v>
      </c>
      <c r="I75" s="3">
        <f t="shared" si="46"/>
        <v>4.9447975999999998E-2</v>
      </c>
    </row>
    <row r="76" spans="1:9" x14ac:dyDescent="0.25">
      <c r="A76">
        <v>100000</v>
      </c>
      <c r="B76" s="3">
        <f t="shared" si="39"/>
        <v>9.9044159000000007E-2</v>
      </c>
      <c r="C76" s="3">
        <f t="shared" si="40"/>
        <v>9.9128625999999997E-2</v>
      </c>
      <c r="D76" s="3">
        <f t="shared" si="41"/>
        <v>9.9016278999999999E-2</v>
      </c>
      <c r="E76" s="3">
        <f t="shared" si="42"/>
        <v>9.9136926E-2</v>
      </c>
      <c r="F76" s="3">
        <f t="shared" si="43"/>
        <v>9.8933204999999996E-2</v>
      </c>
      <c r="G76" s="3">
        <f t="shared" si="44"/>
        <v>9.9137373000000001E-2</v>
      </c>
      <c r="H76" s="3">
        <f t="shared" si="45"/>
        <v>9.8594345E-2</v>
      </c>
      <c r="I76" s="3">
        <f t="shared" si="46"/>
        <v>9.8810665000000006E-2</v>
      </c>
    </row>
    <row r="77" spans="1:9" x14ac:dyDescent="0.25">
      <c r="A77">
        <v>140000</v>
      </c>
      <c r="B77" s="3">
        <f t="shared" si="39"/>
        <v>0.13834387100000001</v>
      </c>
      <c r="C77" s="3">
        <f t="shared" si="40"/>
        <v>0.13842323400000001</v>
      </c>
      <c r="D77" s="3">
        <f t="shared" si="41"/>
        <v>0.13828243300000001</v>
      </c>
      <c r="E77" s="3">
        <f t="shared" si="42"/>
        <v>0.13846355699999999</v>
      </c>
      <c r="F77" s="3">
        <f t="shared" si="43"/>
        <v>0.13819363700000001</v>
      </c>
      <c r="G77" s="3">
        <f t="shared" si="44"/>
        <v>0.13846314000000001</v>
      </c>
      <c r="H77" s="3">
        <f t="shared" si="45"/>
        <v>0.13773295299999999</v>
      </c>
      <c r="I77" s="3">
        <f t="shared" si="46"/>
        <v>0.138026133</v>
      </c>
    </row>
    <row r="79" spans="1:9" x14ac:dyDescent="0.25">
      <c r="A79" s="4" t="s">
        <v>9</v>
      </c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t="s">
        <v>1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</row>
    <row r="81" spans="1:9" x14ac:dyDescent="0.25">
      <c r="A81">
        <v>100</v>
      </c>
      <c r="B81" s="3">
        <f>(M41/5)*1000000</f>
        <v>73.613011</v>
      </c>
      <c r="C81" s="3">
        <f t="shared" ref="C81:I81" si="47">(N41/5)*1000000</f>
        <v>74.250379199999998</v>
      </c>
      <c r="D81" s="3">
        <f t="shared" si="47"/>
        <v>75.807073200000005</v>
      </c>
      <c r="E81" s="3">
        <f t="shared" si="47"/>
        <v>75.630145199999987</v>
      </c>
      <c r="F81" s="3">
        <f t="shared" si="47"/>
        <v>75.610767800000005</v>
      </c>
      <c r="G81" s="3">
        <f t="shared" si="47"/>
        <v>75.202970800000003</v>
      </c>
      <c r="H81" s="3">
        <f t="shared" si="47"/>
        <v>74.797449599999993</v>
      </c>
      <c r="I81" s="3">
        <f t="shared" si="47"/>
        <v>76.75151000000001</v>
      </c>
    </row>
    <row r="82" spans="1:9" x14ac:dyDescent="0.25">
      <c r="A82">
        <v>500</v>
      </c>
      <c r="B82" s="3">
        <f t="shared" ref="B82:B88" si="48">(M42/5)*1000000</f>
        <v>441.78960000000006</v>
      </c>
      <c r="C82" s="3">
        <f t="shared" ref="C82:C88" si="49">(N42/5)*1000000</f>
        <v>441.2208</v>
      </c>
      <c r="D82" s="3">
        <f t="shared" ref="D82:D88" si="50">(O42/5)*1000000</f>
        <v>441.64540000000005</v>
      </c>
      <c r="E82" s="3">
        <f t="shared" ref="E82:E88" si="51">(P42/5)*1000000</f>
        <v>440.3184</v>
      </c>
      <c r="F82" s="3">
        <f t="shared" ref="F82:F88" si="52">(Q42/5)*1000000</f>
        <v>439.20239999999995</v>
      </c>
      <c r="G82" s="3">
        <f t="shared" ref="G82:G88" si="53">(R42/5)*1000000</f>
        <v>443.74260000000004</v>
      </c>
      <c r="H82" s="3">
        <f t="shared" ref="H82:H88" si="54">(S42/5)*1000000</f>
        <v>444.08879999999999</v>
      </c>
      <c r="I82" s="3">
        <f t="shared" ref="I82:I88" si="55">(T42/5)*1000000</f>
        <v>438.95899999999995</v>
      </c>
    </row>
    <row r="83" spans="1:9" x14ac:dyDescent="0.25">
      <c r="A83">
        <v>1000</v>
      </c>
      <c r="B83" s="3">
        <f t="shared" si="48"/>
        <v>956.20059999999989</v>
      </c>
      <c r="C83" s="3">
        <f t="shared" si="49"/>
        <v>951.37159999999994</v>
      </c>
      <c r="D83" s="3">
        <f t="shared" si="50"/>
        <v>953.726</v>
      </c>
      <c r="E83" s="3">
        <f t="shared" si="51"/>
        <v>953.34960000000001</v>
      </c>
      <c r="F83" s="3">
        <f t="shared" si="52"/>
        <v>953.30359999999996</v>
      </c>
      <c r="G83" s="3">
        <f t="shared" si="53"/>
        <v>958.50519999999995</v>
      </c>
      <c r="H83" s="3">
        <f t="shared" si="54"/>
        <v>958.3187999999999</v>
      </c>
      <c r="I83" s="3">
        <f t="shared" si="55"/>
        <v>954.2847999999999</v>
      </c>
    </row>
    <row r="84" spans="1:9" x14ac:dyDescent="0.25">
      <c r="A84">
        <v>5000</v>
      </c>
      <c r="B84" s="3">
        <f t="shared" si="48"/>
        <v>4994.8405999999995</v>
      </c>
      <c r="C84" s="3">
        <f t="shared" si="49"/>
        <v>4970.1080000000002</v>
      </c>
      <c r="D84" s="3">
        <f t="shared" si="50"/>
        <v>4978.9760000000006</v>
      </c>
      <c r="E84" s="3">
        <f t="shared" si="51"/>
        <v>4984.8002000000006</v>
      </c>
      <c r="F84" s="3">
        <f t="shared" si="52"/>
        <v>4972.5070000000005</v>
      </c>
      <c r="G84" s="3">
        <f t="shared" si="53"/>
        <v>4990.9328000000005</v>
      </c>
      <c r="H84" s="3">
        <f t="shared" si="54"/>
        <v>4993.3549999999996</v>
      </c>
      <c r="I84" s="3">
        <f t="shared" si="55"/>
        <v>4978.8393999999998</v>
      </c>
    </row>
    <row r="85" spans="1:9" x14ac:dyDescent="0.25">
      <c r="A85">
        <v>10000</v>
      </c>
      <c r="B85" s="3">
        <f t="shared" si="48"/>
        <v>10007.1572</v>
      </c>
      <c r="C85" s="3">
        <f t="shared" si="49"/>
        <v>9963.11</v>
      </c>
      <c r="D85" s="3">
        <f t="shared" si="50"/>
        <v>9970.2186000000002</v>
      </c>
      <c r="E85" s="3">
        <f t="shared" si="51"/>
        <v>9986.3819999999996</v>
      </c>
      <c r="F85" s="3">
        <f t="shared" si="52"/>
        <v>9967.7854000000007</v>
      </c>
      <c r="G85" s="3">
        <f t="shared" si="53"/>
        <v>9995.7288000000008</v>
      </c>
      <c r="H85" s="3">
        <f t="shared" si="54"/>
        <v>10001.275</v>
      </c>
      <c r="I85" s="3">
        <f t="shared" si="55"/>
        <v>9979.362000000001</v>
      </c>
    </row>
    <row r="86" spans="1:9" x14ac:dyDescent="0.25">
      <c r="A86">
        <v>50000</v>
      </c>
      <c r="B86" s="3">
        <f t="shared" si="48"/>
        <v>49982.130600000004</v>
      </c>
      <c r="C86" s="3">
        <f t="shared" si="49"/>
        <v>49782.964599999999</v>
      </c>
      <c r="D86" s="3">
        <f t="shared" si="50"/>
        <v>49830.475400000003</v>
      </c>
      <c r="E86" s="3">
        <f t="shared" si="51"/>
        <v>49859.419399999999</v>
      </c>
      <c r="F86" s="3">
        <f t="shared" si="52"/>
        <v>49803.701000000001</v>
      </c>
      <c r="G86" s="3">
        <f t="shared" si="53"/>
        <v>49939.921399999999</v>
      </c>
      <c r="H86" s="3">
        <f t="shared" si="54"/>
        <v>49941.646999999997</v>
      </c>
      <c r="I86" s="3">
        <f t="shared" si="55"/>
        <v>49856.7284</v>
      </c>
    </row>
    <row r="87" spans="1:9" x14ac:dyDescent="0.25">
      <c r="A87">
        <v>100000</v>
      </c>
      <c r="B87" s="3">
        <f t="shared" si="48"/>
        <v>99988.597599999994</v>
      </c>
      <c r="C87" s="3">
        <f t="shared" si="49"/>
        <v>99603.944999999992</v>
      </c>
      <c r="D87" s="3">
        <f t="shared" si="50"/>
        <v>99687.230599999995</v>
      </c>
      <c r="E87" s="3">
        <f t="shared" si="51"/>
        <v>99747.109400000001</v>
      </c>
      <c r="F87" s="3">
        <f t="shared" si="52"/>
        <v>99613.809600000008</v>
      </c>
      <c r="G87" s="3">
        <f t="shared" si="53"/>
        <v>99914.330199999997</v>
      </c>
      <c r="H87" s="3">
        <f t="shared" si="54"/>
        <v>99782.157000000007</v>
      </c>
      <c r="I87" s="3">
        <f t="shared" si="55"/>
        <v>99723.410599999988</v>
      </c>
    </row>
    <row r="88" spans="1:9" x14ac:dyDescent="0.25">
      <c r="A88">
        <v>140000</v>
      </c>
      <c r="B88" s="3">
        <f t="shared" si="48"/>
        <v>139749.81299999999</v>
      </c>
      <c r="C88" s="3">
        <f t="shared" si="49"/>
        <v>139342.90399999998</v>
      </c>
      <c r="D88" s="3">
        <f t="shared" si="50"/>
        <v>139303.3982</v>
      </c>
      <c r="E88" s="3">
        <f t="shared" si="51"/>
        <v>139473.56940000001</v>
      </c>
      <c r="F88" s="3">
        <f t="shared" si="52"/>
        <v>139244.37760000001</v>
      </c>
      <c r="G88" s="3">
        <f t="shared" si="53"/>
        <v>139745.28319999998</v>
      </c>
      <c r="H88" s="3">
        <f t="shared" si="54"/>
        <v>139440.33380000002</v>
      </c>
      <c r="I88" s="3">
        <f t="shared" si="55"/>
        <v>139414.95420000001</v>
      </c>
    </row>
    <row r="90" spans="1:9" x14ac:dyDescent="0.25">
      <c r="A90" s="5" t="s">
        <v>10</v>
      </c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t="s">
        <v>0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</row>
    <row r="92" spans="1:9" x14ac:dyDescent="0.25">
      <c r="A92">
        <v>100</v>
      </c>
      <c r="B92" s="1">
        <f>B81-B70</f>
        <v>73.608969916999996</v>
      </c>
      <c r="C92" s="1">
        <f t="shared" ref="C92:I92" si="56">C81-C70</f>
        <v>74.246353290999991</v>
      </c>
      <c r="D92" s="1">
        <f t="shared" si="56"/>
        <v>75.803027925999999</v>
      </c>
      <c r="E92" s="1">
        <f t="shared" si="56"/>
        <v>75.62611099999998</v>
      </c>
      <c r="F92" s="1">
        <f t="shared" si="56"/>
        <v>75.606738708999998</v>
      </c>
      <c r="G92" s="1">
        <f t="shared" si="56"/>
        <v>75.198929927000009</v>
      </c>
      <c r="H92" s="1">
        <f t="shared" si="56"/>
        <v>74.793430031999989</v>
      </c>
      <c r="I92" s="1">
        <f t="shared" si="56"/>
        <v>76.74747935500001</v>
      </c>
    </row>
    <row r="93" spans="1:9" x14ac:dyDescent="0.25">
      <c r="A93">
        <v>500</v>
      </c>
      <c r="B93" s="1">
        <f t="shared" ref="B93:I93" si="57">B82-B71</f>
        <v>441.78553530900007</v>
      </c>
      <c r="C93" s="1">
        <f t="shared" si="57"/>
        <v>441.21674704600002</v>
      </c>
      <c r="D93" s="1">
        <f t="shared" si="57"/>
        <v>441.64132769600008</v>
      </c>
      <c r="E93" s="1">
        <f t="shared" si="57"/>
        <v>440.314346575</v>
      </c>
      <c r="F93" s="1">
        <f t="shared" si="57"/>
        <v>439.19834906099993</v>
      </c>
      <c r="G93" s="1">
        <f t="shared" si="57"/>
        <v>443.73852962300003</v>
      </c>
      <c r="H93" s="1">
        <f t="shared" si="57"/>
        <v>444.08475679700001</v>
      </c>
      <c r="I93" s="1">
        <f t="shared" si="57"/>
        <v>438.95493695399995</v>
      </c>
    </row>
    <row r="94" spans="1:9" x14ac:dyDescent="0.25">
      <c r="A94">
        <v>1000</v>
      </c>
      <c r="B94" s="1">
        <f t="shared" ref="B94:I94" si="58">B83-B72</f>
        <v>956.19645069599994</v>
      </c>
      <c r="C94" s="1">
        <f t="shared" si="58"/>
        <v>951.36746687599998</v>
      </c>
      <c r="D94" s="1">
        <f t="shared" si="58"/>
        <v>953.72184037800002</v>
      </c>
      <c r="E94" s="1">
        <f t="shared" si="58"/>
        <v>953.34544511199999</v>
      </c>
      <c r="F94" s="1">
        <f t="shared" si="58"/>
        <v>953.29946378</v>
      </c>
      <c r="G94" s="1">
        <f t="shared" si="58"/>
        <v>958.50104961699992</v>
      </c>
      <c r="H94" s="1">
        <f t="shared" si="58"/>
        <v>958.31466691299988</v>
      </c>
      <c r="I94" s="1">
        <f t="shared" si="58"/>
        <v>954.28064446699989</v>
      </c>
    </row>
    <row r="95" spans="1:9" x14ac:dyDescent="0.25">
      <c r="A95">
        <v>5000</v>
      </c>
      <c r="B95" s="1">
        <f t="shared" ref="B95:I95" si="59">B84-B73</f>
        <v>4994.8342308939991</v>
      </c>
      <c r="C95" s="1">
        <f t="shared" si="59"/>
        <v>4970.1016455999998</v>
      </c>
      <c r="D95" s="1">
        <f t="shared" si="59"/>
        <v>4978.969632833001</v>
      </c>
      <c r="E95" s="1">
        <f t="shared" si="59"/>
        <v>4984.7938371650007</v>
      </c>
      <c r="F95" s="1">
        <f t="shared" si="59"/>
        <v>4972.5006501370008</v>
      </c>
      <c r="G95" s="1">
        <f t="shared" si="59"/>
        <v>4990.9264380140003</v>
      </c>
      <c r="H95" s="1">
        <f t="shared" si="59"/>
        <v>4993.3486742339992</v>
      </c>
      <c r="I95" s="1">
        <f t="shared" si="59"/>
        <v>4978.8330455999994</v>
      </c>
    </row>
    <row r="96" spans="1:9" x14ac:dyDescent="0.25">
      <c r="A96">
        <v>10000</v>
      </c>
      <c r="B96" s="1">
        <f t="shared" ref="B96:I96" si="60">B85-B74</f>
        <v>10007.146511384</v>
      </c>
      <c r="C96" s="1">
        <f t="shared" si="60"/>
        <v>9963.0993114730009</v>
      </c>
      <c r="D96" s="1">
        <f t="shared" si="60"/>
        <v>9970.207913364</v>
      </c>
      <c r="E96" s="1">
        <f t="shared" si="60"/>
        <v>9986.3713042099989</v>
      </c>
      <c r="F96" s="1">
        <f t="shared" si="60"/>
        <v>9967.7747314040007</v>
      </c>
      <c r="G96" s="1">
        <f t="shared" si="60"/>
        <v>9995.7181078920003</v>
      </c>
      <c r="H96" s="1">
        <f t="shared" si="60"/>
        <v>10001.264370413999</v>
      </c>
      <c r="I96" s="1">
        <f t="shared" si="60"/>
        <v>9979.351332481001</v>
      </c>
    </row>
    <row r="97" spans="1:9" x14ac:dyDescent="0.25">
      <c r="A97">
        <v>50000</v>
      </c>
      <c r="B97" s="1">
        <f t="shared" ref="B97:I97" si="61">B86-B75</f>
        <v>49982.081030259003</v>
      </c>
      <c r="C97" s="1">
        <f t="shared" si="61"/>
        <v>49782.914989019999</v>
      </c>
      <c r="D97" s="1">
        <f t="shared" si="61"/>
        <v>49830.425847250001</v>
      </c>
      <c r="E97" s="1">
        <f t="shared" si="61"/>
        <v>49859.369787217001</v>
      </c>
      <c r="F97" s="1">
        <f t="shared" si="61"/>
        <v>49803.651492664998</v>
      </c>
      <c r="G97" s="1">
        <f t="shared" si="61"/>
        <v>49939.871779877998</v>
      </c>
      <c r="H97" s="1">
        <f t="shared" si="61"/>
        <v>49941.597682255997</v>
      </c>
      <c r="I97" s="1">
        <f t="shared" si="61"/>
        <v>49856.678952023998</v>
      </c>
    </row>
    <row r="98" spans="1:9" x14ac:dyDescent="0.25">
      <c r="A98">
        <v>100000</v>
      </c>
      <c r="B98" s="1">
        <f t="shared" ref="B98:I98" si="62">B87-B76</f>
        <v>99988.498555840997</v>
      </c>
      <c r="C98" s="1">
        <f t="shared" si="62"/>
        <v>99603.845871373996</v>
      </c>
      <c r="D98" s="1">
        <f t="shared" si="62"/>
        <v>99687.131583720999</v>
      </c>
      <c r="E98" s="1">
        <f t="shared" si="62"/>
        <v>99747.010263074</v>
      </c>
      <c r="F98" s="1">
        <f t="shared" si="62"/>
        <v>99613.710666795014</v>
      </c>
      <c r="G98" s="1">
        <f t="shared" si="62"/>
        <v>99914.23106262699</v>
      </c>
      <c r="H98" s="1">
        <f t="shared" si="62"/>
        <v>99782.058405655</v>
      </c>
      <c r="I98" s="1">
        <f t="shared" si="62"/>
        <v>99723.311789334984</v>
      </c>
    </row>
    <row r="99" spans="1:9" x14ac:dyDescent="0.25">
      <c r="A99">
        <v>140000</v>
      </c>
      <c r="B99" s="1">
        <f t="shared" ref="B99:I99" si="63">B88-B77</f>
        <v>139749.67465612901</v>
      </c>
      <c r="C99" s="1">
        <f t="shared" si="63"/>
        <v>139342.76557676599</v>
      </c>
      <c r="D99" s="1">
        <f t="shared" si="63"/>
        <v>139303.25991756699</v>
      </c>
      <c r="E99" s="1">
        <f t="shared" si="63"/>
        <v>139473.43093644301</v>
      </c>
      <c r="F99" s="1">
        <f t="shared" si="63"/>
        <v>139244.23940636302</v>
      </c>
      <c r="G99" s="1">
        <f t="shared" si="63"/>
        <v>139745.14473685998</v>
      </c>
      <c r="H99" s="1">
        <f t="shared" si="63"/>
        <v>139440.19606704701</v>
      </c>
      <c r="I99" s="1">
        <f t="shared" si="63"/>
        <v>139414.816173867</v>
      </c>
    </row>
  </sheetData>
  <mergeCells count="9">
    <mergeCell ref="A68:I68"/>
    <mergeCell ref="A79:I79"/>
    <mergeCell ref="A90:I90"/>
    <mergeCell ref="A57:I57"/>
    <mergeCell ref="A1:I1"/>
    <mergeCell ref="A12:I12"/>
    <mergeCell ref="A23:I23"/>
    <mergeCell ref="A35:I35"/>
    <mergeCell ref="A46:I46"/>
  </mergeCells>
  <conditionalFormatting sqref="B14:I14">
    <cfRule type="cellIs" dxfId="94" priority="47" operator="lessThan">
      <formula>35</formula>
    </cfRule>
    <cfRule type="cellIs" dxfId="93" priority="48" operator="greaterThan">
      <formula>165</formula>
    </cfRule>
  </conditionalFormatting>
  <conditionalFormatting sqref="B15:I15">
    <cfRule type="cellIs" dxfId="92" priority="45" operator="lessThan">
      <formula>415</formula>
    </cfRule>
    <cfRule type="cellIs" dxfId="91" priority="46" operator="greaterThan">
      <formula>585</formula>
    </cfRule>
  </conditionalFormatting>
  <conditionalFormatting sqref="B16:I16">
    <cfRule type="cellIs" dxfId="90" priority="43" operator="lessThan">
      <formula>890</formula>
    </cfRule>
    <cfRule type="cellIs" dxfId="89" priority="44" operator="greaterThan">
      <formula>1110</formula>
    </cfRule>
  </conditionalFormatting>
  <conditionalFormatting sqref="B17:I17">
    <cfRule type="cellIs" dxfId="88" priority="41" operator="greaterThan">
      <formula>5310</formula>
    </cfRule>
    <cfRule type="cellIs" dxfId="87" priority="42" operator="lessThan">
      <formula>4690</formula>
    </cfRule>
  </conditionalFormatting>
  <conditionalFormatting sqref="B18:I18">
    <cfRule type="cellIs" dxfId="86" priority="39" operator="greaterThan">
      <formula>10560</formula>
    </cfRule>
    <cfRule type="cellIs" dxfId="85" priority="40" operator="lessThan">
      <formula>9440</formula>
    </cfRule>
  </conditionalFormatting>
  <conditionalFormatting sqref="B19:I19">
    <cfRule type="cellIs" dxfId="84" priority="37" operator="lessThan">
      <formula>47440</formula>
    </cfRule>
    <cfRule type="cellIs" dxfId="83" priority="38" operator="greaterThan">
      <formula>52560</formula>
    </cfRule>
  </conditionalFormatting>
  <conditionalFormatting sqref="B20:I20">
    <cfRule type="cellIs" dxfId="82" priority="35" operator="lessThan">
      <formula>94940</formula>
    </cfRule>
    <cfRule type="cellIs" dxfId="81" priority="36" operator="greaterThan">
      <formula>105060</formula>
    </cfRule>
  </conditionalFormatting>
  <conditionalFormatting sqref="B21:I21">
    <cfRule type="cellIs" dxfId="80" priority="34" operator="greaterThan">
      <formula>147060</formula>
    </cfRule>
    <cfRule type="cellIs" dxfId="79" priority="33" operator="lessThan">
      <formula>132940</formula>
    </cfRule>
  </conditionalFormatting>
  <conditionalFormatting sqref="B48:I48">
    <cfRule type="cellIs" dxfId="78" priority="32" operator="greaterThan">
      <formula>165</formula>
    </cfRule>
    <cfRule type="cellIs" dxfId="77" priority="31" operator="lessThan">
      <formula>35</formula>
    </cfRule>
  </conditionalFormatting>
  <conditionalFormatting sqref="B49:I49">
    <cfRule type="cellIs" dxfId="76" priority="30" operator="greaterThan">
      <formula>585</formula>
    </cfRule>
    <cfRule type="cellIs" dxfId="75" priority="29" operator="lessThan">
      <formula>415</formula>
    </cfRule>
  </conditionalFormatting>
  <conditionalFormatting sqref="B50:I50">
    <cfRule type="cellIs" dxfId="74" priority="28" operator="greaterThan">
      <formula>1110</formula>
    </cfRule>
    <cfRule type="cellIs" dxfId="73" priority="27" operator="lessThan">
      <formula>890</formula>
    </cfRule>
  </conditionalFormatting>
  <conditionalFormatting sqref="B51:I51">
    <cfRule type="cellIs" dxfId="72" priority="26" operator="greaterThan">
      <formula>5310</formula>
    </cfRule>
    <cfRule type="cellIs" dxfId="71" priority="25" operator="lessThan">
      <formula>4690</formula>
    </cfRule>
  </conditionalFormatting>
  <conditionalFormatting sqref="B52:I52">
    <cfRule type="cellIs" dxfId="70" priority="24" operator="greaterThan">
      <formula>10560</formula>
    </cfRule>
    <cfRule type="cellIs" dxfId="69" priority="23" operator="lessThan">
      <formula>9440</formula>
    </cfRule>
  </conditionalFormatting>
  <conditionalFormatting sqref="B53:I53">
    <cfRule type="cellIs" dxfId="68" priority="22" operator="greaterThan">
      <formula>52560</formula>
    </cfRule>
    <cfRule type="cellIs" dxfId="67" priority="21" operator="lessThan">
      <formula>47440</formula>
    </cfRule>
  </conditionalFormatting>
  <conditionalFormatting sqref="B54:I54">
    <cfRule type="cellIs" dxfId="66" priority="20" operator="greaterThan">
      <formula>105060</formula>
    </cfRule>
    <cfRule type="cellIs" dxfId="65" priority="19" operator="lessThan">
      <formula>94940</formula>
    </cfRule>
  </conditionalFormatting>
  <conditionalFormatting sqref="B55:I55">
    <cfRule type="cellIs" dxfId="64" priority="18" operator="greaterThan">
      <formula>147060</formula>
    </cfRule>
    <cfRule type="cellIs" dxfId="63" priority="17" operator="lessThan">
      <formula>132940</formula>
    </cfRule>
  </conditionalFormatting>
  <conditionalFormatting sqref="B81:I81">
    <cfRule type="cellIs" dxfId="62" priority="16" operator="greaterThan">
      <formula>165</formula>
    </cfRule>
    <cfRule type="cellIs" dxfId="61" priority="15" operator="lessThan">
      <formula>35</formula>
    </cfRule>
  </conditionalFormatting>
  <conditionalFormatting sqref="B82:I82">
    <cfRule type="cellIs" dxfId="60" priority="14" operator="greaterThan">
      <formula>585</formula>
    </cfRule>
    <cfRule type="cellIs" dxfId="59" priority="13" operator="lessThan">
      <formula>415</formula>
    </cfRule>
  </conditionalFormatting>
  <conditionalFormatting sqref="B83:I83">
    <cfRule type="cellIs" dxfId="58" priority="12" operator="greaterThan">
      <formula>1110</formula>
    </cfRule>
    <cfRule type="cellIs" dxfId="57" priority="11" operator="lessThan">
      <formula>890</formula>
    </cfRule>
  </conditionalFormatting>
  <conditionalFormatting sqref="B84:I84">
    <cfRule type="cellIs" dxfId="56" priority="10" operator="greaterThan">
      <formula>5310</formula>
    </cfRule>
    <cfRule type="cellIs" dxfId="55" priority="9" operator="lessThan">
      <formula>4690</formula>
    </cfRule>
  </conditionalFormatting>
  <conditionalFormatting sqref="B85:I85">
    <cfRule type="cellIs" dxfId="54" priority="8" operator="greaterThan">
      <formula>10560</formula>
    </cfRule>
    <cfRule type="cellIs" dxfId="53" priority="7" operator="lessThan">
      <formula>9440</formula>
    </cfRule>
  </conditionalFormatting>
  <conditionalFormatting sqref="B86:I86">
    <cfRule type="cellIs" dxfId="52" priority="6" operator="greaterThan">
      <formula>52560</formula>
    </cfRule>
    <cfRule type="cellIs" dxfId="51" priority="5" operator="lessThan">
      <formula>47440</formula>
    </cfRule>
  </conditionalFormatting>
  <conditionalFormatting sqref="B87:I87">
    <cfRule type="cellIs" dxfId="50" priority="4" operator="greaterThan">
      <formula>105060</formula>
    </cfRule>
    <cfRule type="cellIs" dxfId="49" priority="3" operator="lessThan">
      <formula>94940</formula>
    </cfRule>
  </conditionalFormatting>
  <conditionalFormatting sqref="B88:I88">
    <cfRule type="cellIs" dxfId="0" priority="2" operator="greaterThan">
      <formula>147060</formula>
    </cfRule>
    <cfRule type="cellIs" dxfId="1" priority="1" operator="lessThan">
      <formula>132940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Shaev Andrew</cp:lastModifiedBy>
  <dcterms:created xsi:type="dcterms:W3CDTF">2015-06-05T18:17:20Z</dcterms:created>
  <dcterms:modified xsi:type="dcterms:W3CDTF">2026-04-27T10:56:10Z</dcterms:modified>
</cp:coreProperties>
</file>
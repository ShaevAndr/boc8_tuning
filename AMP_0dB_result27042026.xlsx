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ndrew\Desktop\боц8\"/>
    </mc:Choice>
  </mc:AlternateContent>
  <xr:revisionPtr revIDLastSave="0" documentId="8_{05123F80-99D6-4E0C-9525-3301E81CF278}" xr6:coauthVersionLast="47" xr6:coauthVersionMax="47" xr10:uidLastSave="{00000000-0000-0000-0000-000000000000}"/>
  <bookViews>
    <workbookView xWindow="5325" yWindow="4215" windowWidth="21600" windowHeight="113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1" i="1" l="1"/>
  <c r="B82" i="1"/>
  <c r="C82" i="1"/>
  <c r="D82" i="1"/>
  <c r="E82" i="1"/>
  <c r="F82" i="1"/>
  <c r="G82" i="1"/>
  <c r="H82" i="1"/>
  <c r="I82" i="1"/>
  <c r="B83" i="1"/>
  <c r="C83" i="1"/>
  <c r="D83" i="1"/>
  <c r="E83" i="1"/>
  <c r="F83" i="1"/>
  <c r="G83" i="1"/>
  <c r="H83" i="1"/>
  <c r="I83" i="1"/>
  <c r="B84" i="1"/>
  <c r="C84" i="1"/>
  <c r="D84" i="1"/>
  <c r="E84" i="1"/>
  <c r="F84" i="1"/>
  <c r="G84" i="1"/>
  <c r="H84" i="1"/>
  <c r="I84" i="1"/>
  <c r="B85" i="1"/>
  <c r="C85" i="1"/>
  <c r="D85" i="1"/>
  <c r="E85" i="1"/>
  <c r="F85" i="1"/>
  <c r="G85" i="1"/>
  <c r="H85" i="1"/>
  <c r="I85" i="1"/>
  <c r="B86" i="1"/>
  <c r="C86" i="1"/>
  <c r="D86" i="1"/>
  <c r="E86" i="1"/>
  <c r="F86" i="1"/>
  <c r="G86" i="1"/>
  <c r="H86" i="1"/>
  <c r="I86" i="1"/>
  <c r="B87" i="1"/>
  <c r="C87" i="1"/>
  <c r="D87" i="1"/>
  <c r="E87" i="1"/>
  <c r="F87" i="1"/>
  <c r="G87" i="1"/>
  <c r="H87" i="1"/>
  <c r="I87" i="1"/>
  <c r="B88" i="1"/>
  <c r="C88" i="1"/>
  <c r="D88" i="1"/>
  <c r="E88" i="1"/>
  <c r="F88" i="1"/>
  <c r="G88" i="1"/>
  <c r="H88" i="1"/>
  <c r="I88" i="1"/>
  <c r="C81" i="1"/>
  <c r="D81" i="1"/>
  <c r="E81" i="1"/>
  <c r="F81" i="1"/>
  <c r="G81" i="1"/>
  <c r="H81" i="1"/>
  <c r="I81" i="1"/>
  <c r="B81" i="1"/>
  <c r="B49" i="1"/>
  <c r="C49" i="1"/>
  <c r="D49" i="1"/>
  <c r="E49" i="1"/>
  <c r="F49" i="1"/>
  <c r="G49" i="1"/>
  <c r="H49" i="1"/>
  <c r="I49" i="1"/>
  <c r="B50" i="1"/>
  <c r="C50" i="1"/>
  <c r="D50" i="1"/>
  <c r="D61" i="1" s="1"/>
  <c r="E50" i="1"/>
  <c r="F50" i="1"/>
  <c r="G50" i="1"/>
  <c r="H50" i="1"/>
  <c r="I50" i="1"/>
  <c r="B51" i="1"/>
  <c r="C51" i="1"/>
  <c r="D51" i="1"/>
  <c r="D62" i="1" s="1"/>
  <c r="E51" i="1"/>
  <c r="F51" i="1"/>
  <c r="G51" i="1"/>
  <c r="H51" i="1"/>
  <c r="I51" i="1"/>
  <c r="B52" i="1"/>
  <c r="C52" i="1"/>
  <c r="D52" i="1"/>
  <c r="D63" i="1" s="1"/>
  <c r="E52" i="1"/>
  <c r="F52" i="1"/>
  <c r="G52" i="1"/>
  <c r="H52" i="1"/>
  <c r="I52" i="1"/>
  <c r="B53" i="1"/>
  <c r="C53" i="1"/>
  <c r="D53" i="1"/>
  <c r="D64" i="1" s="1"/>
  <c r="E53" i="1"/>
  <c r="F53" i="1"/>
  <c r="G53" i="1"/>
  <c r="H53" i="1"/>
  <c r="I53" i="1"/>
  <c r="B54" i="1"/>
  <c r="C54" i="1"/>
  <c r="D54" i="1"/>
  <c r="D65" i="1" s="1"/>
  <c r="E54" i="1"/>
  <c r="F54" i="1"/>
  <c r="G54" i="1"/>
  <c r="H54" i="1"/>
  <c r="I54" i="1"/>
  <c r="B55" i="1"/>
  <c r="C55" i="1"/>
  <c r="D55" i="1"/>
  <c r="D66" i="1" s="1"/>
  <c r="E55" i="1"/>
  <c r="F55" i="1"/>
  <c r="G55" i="1"/>
  <c r="H55" i="1"/>
  <c r="I55" i="1"/>
  <c r="C48" i="1"/>
  <c r="D48" i="1"/>
  <c r="E48" i="1"/>
  <c r="F48" i="1"/>
  <c r="G48" i="1"/>
  <c r="H48" i="1"/>
  <c r="I48" i="1"/>
  <c r="B48" i="1"/>
  <c r="H21" i="1"/>
  <c r="G21" i="1"/>
  <c r="F21" i="1"/>
  <c r="E21" i="1"/>
  <c r="D21" i="1"/>
  <c r="B21" i="1"/>
  <c r="C21" i="1"/>
  <c r="C16" i="1"/>
  <c r="B15" i="1"/>
  <c r="C15" i="1"/>
  <c r="D15" i="1"/>
  <c r="E15" i="1"/>
  <c r="F15" i="1"/>
  <c r="G15" i="1"/>
  <c r="H15" i="1"/>
  <c r="I15" i="1"/>
  <c r="B16" i="1"/>
  <c r="D16" i="1"/>
  <c r="E16" i="1"/>
  <c r="F16" i="1"/>
  <c r="G16" i="1"/>
  <c r="H16" i="1"/>
  <c r="I16" i="1"/>
  <c r="B17" i="1"/>
  <c r="C17" i="1"/>
  <c r="D17" i="1"/>
  <c r="E17" i="1"/>
  <c r="F17" i="1"/>
  <c r="G17" i="1"/>
  <c r="H17" i="1"/>
  <c r="I17" i="1"/>
  <c r="B18" i="1"/>
  <c r="C18" i="1"/>
  <c r="D18" i="1"/>
  <c r="E18" i="1"/>
  <c r="F18" i="1"/>
  <c r="G18" i="1"/>
  <c r="H18" i="1"/>
  <c r="I18" i="1"/>
  <c r="B19" i="1"/>
  <c r="C19" i="1"/>
  <c r="D19" i="1"/>
  <c r="E19" i="1"/>
  <c r="F19" i="1"/>
  <c r="G19" i="1"/>
  <c r="H19" i="1"/>
  <c r="I19" i="1"/>
  <c r="B20" i="1"/>
  <c r="C20" i="1"/>
  <c r="D20" i="1"/>
  <c r="E20" i="1"/>
  <c r="F20" i="1"/>
  <c r="G20" i="1"/>
  <c r="H20" i="1"/>
  <c r="I20" i="1"/>
  <c r="C14" i="1"/>
  <c r="D14" i="1"/>
  <c r="E14" i="1"/>
  <c r="F14" i="1"/>
  <c r="G14" i="1"/>
  <c r="H14" i="1"/>
  <c r="I14" i="1"/>
  <c r="B14" i="1"/>
  <c r="B3" i="1"/>
  <c r="B71" i="1"/>
  <c r="B93" i="1" s="1"/>
  <c r="C71" i="1"/>
  <c r="D71" i="1"/>
  <c r="E71" i="1"/>
  <c r="F71" i="1"/>
  <c r="F93" i="1" s="1"/>
  <c r="G71" i="1"/>
  <c r="H71" i="1"/>
  <c r="I71" i="1"/>
  <c r="B72" i="1"/>
  <c r="B94" i="1" s="1"/>
  <c r="C72" i="1"/>
  <c r="D72" i="1"/>
  <c r="E72" i="1"/>
  <c r="F72" i="1"/>
  <c r="F94" i="1" s="1"/>
  <c r="G72" i="1"/>
  <c r="H72" i="1"/>
  <c r="I72" i="1"/>
  <c r="B73" i="1"/>
  <c r="B95" i="1" s="1"/>
  <c r="C73" i="1"/>
  <c r="D73" i="1"/>
  <c r="E73" i="1"/>
  <c r="F73" i="1"/>
  <c r="F95" i="1" s="1"/>
  <c r="G73" i="1"/>
  <c r="H73" i="1"/>
  <c r="I73" i="1"/>
  <c r="B74" i="1"/>
  <c r="B96" i="1" s="1"/>
  <c r="C74" i="1"/>
  <c r="D74" i="1"/>
  <c r="E74" i="1"/>
  <c r="F74" i="1"/>
  <c r="F96" i="1" s="1"/>
  <c r="G74" i="1"/>
  <c r="H74" i="1"/>
  <c r="I74" i="1"/>
  <c r="B75" i="1"/>
  <c r="B97" i="1" s="1"/>
  <c r="C75" i="1"/>
  <c r="D75" i="1"/>
  <c r="E75" i="1"/>
  <c r="F75" i="1"/>
  <c r="F97" i="1" s="1"/>
  <c r="G75" i="1"/>
  <c r="H75" i="1"/>
  <c r="I75" i="1"/>
  <c r="B76" i="1"/>
  <c r="B98" i="1" s="1"/>
  <c r="C76" i="1"/>
  <c r="D76" i="1"/>
  <c r="E76" i="1"/>
  <c r="F76" i="1"/>
  <c r="F98" i="1" s="1"/>
  <c r="G76" i="1"/>
  <c r="H76" i="1"/>
  <c r="I76" i="1"/>
  <c r="B77" i="1"/>
  <c r="B99" i="1" s="1"/>
  <c r="C77" i="1"/>
  <c r="D77" i="1"/>
  <c r="E77" i="1"/>
  <c r="F77" i="1"/>
  <c r="F99" i="1" s="1"/>
  <c r="G77" i="1"/>
  <c r="H77" i="1"/>
  <c r="I77" i="1"/>
  <c r="C70" i="1"/>
  <c r="C92" i="1" s="1"/>
  <c r="D70" i="1"/>
  <c r="E70" i="1"/>
  <c r="F70" i="1"/>
  <c r="G70" i="1"/>
  <c r="G92" i="1" s="1"/>
  <c r="H70" i="1"/>
  <c r="I70" i="1"/>
  <c r="B70" i="1"/>
  <c r="I44" i="1"/>
  <c r="I66" i="1" s="1"/>
  <c r="H44" i="1"/>
  <c r="G44" i="1"/>
  <c r="G66" i="1" s="1"/>
  <c r="F44" i="1"/>
  <c r="F66" i="1" s="1"/>
  <c r="E44" i="1"/>
  <c r="E66" i="1" s="1"/>
  <c r="D44" i="1"/>
  <c r="C44" i="1"/>
  <c r="C66" i="1" s="1"/>
  <c r="B44" i="1"/>
  <c r="B66" i="1" s="1"/>
  <c r="I43" i="1"/>
  <c r="I65" i="1" s="1"/>
  <c r="H43" i="1"/>
  <c r="G43" i="1"/>
  <c r="G65" i="1" s="1"/>
  <c r="F43" i="1"/>
  <c r="F65" i="1" s="1"/>
  <c r="E43" i="1"/>
  <c r="E65" i="1" s="1"/>
  <c r="D43" i="1"/>
  <c r="C43" i="1"/>
  <c r="C65" i="1" s="1"/>
  <c r="B43" i="1"/>
  <c r="B65" i="1" s="1"/>
  <c r="I42" i="1"/>
  <c r="I64" i="1" s="1"/>
  <c r="H42" i="1"/>
  <c r="G42" i="1"/>
  <c r="G64" i="1" s="1"/>
  <c r="F42" i="1"/>
  <c r="F64" i="1" s="1"/>
  <c r="E42" i="1"/>
  <c r="E64" i="1" s="1"/>
  <c r="D42" i="1"/>
  <c r="C42" i="1"/>
  <c r="C64" i="1" s="1"/>
  <c r="B42" i="1"/>
  <c r="B64" i="1" s="1"/>
  <c r="I41" i="1"/>
  <c r="I63" i="1" s="1"/>
  <c r="H41" i="1"/>
  <c r="G41" i="1"/>
  <c r="G63" i="1" s="1"/>
  <c r="F41" i="1"/>
  <c r="F63" i="1" s="1"/>
  <c r="E41" i="1"/>
  <c r="E63" i="1" s="1"/>
  <c r="D41" i="1"/>
  <c r="C41" i="1"/>
  <c r="C63" i="1" s="1"/>
  <c r="B41" i="1"/>
  <c r="B63" i="1" s="1"/>
  <c r="I40" i="1"/>
  <c r="I62" i="1" s="1"/>
  <c r="H40" i="1"/>
  <c r="G40" i="1"/>
  <c r="G62" i="1" s="1"/>
  <c r="F40" i="1"/>
  <c r="F62" i="1" s="1"/>
  <c r="E40" i="1"/>
  <c r="E62" i="1" s="1"/>
  <c r="D40" i="1"/>
  <c r="C40" i="1"/>
  <c r="C62" i="1" s="1"/>
  <c r="B40" i="1"/>
  <c r="B62" i="1" s="1"/>
  <c r="I39" i="1"/>
  <c r="I61" i="1" s="1"/>
  <c r="H39" i="1"/>
  <c r="G39" i="1"/>
  <c r="G61" i="1" s="1"/>
  <c r="F39" i="1"/>
  <c r="F61" i="1" s="1"/>
  <c r="E39" i="1"/>
  <c r="E61" i="1" s="1"/>
  <c r="D39" i="1"/>
  <c r="C39" i="1"/>
  <c r="C61" i="1" s="1"/>
  <c r="B39" i="1"/>
  <c r="B61" i="1" s="1"/>
  <c r="I38" i="1"/>
  <c r="H38" i="1"/>
  <c r="G38" i="1"/>
  <c r="G60" i="1" s="1"/>
  <c r="F38" i="1"/>
  <c r="F60" i="1" s="1"/>
  <c r="E38" i="1"/>
  <c r="D38" i="1"/>
  <c r="C38" i="1"/>
  <c r="B38" i="1"/>
  <c r="B60" i="1" s="1"/>
  <c r="I37" i="1"/>
  <c r="H37" i="1"/>
  <c r="G37" i="1"/>
  <c r="F37" i="1"/>
  <c r="E37" i="1"/>
  <c r="D37" i="1"/>
  <c r="C37" i="1"/>
  <c r="B37" i="1"/>
  <c r="I10" i="1"/>
  <c r="H10" i="1"/>
  <c r="G10" i="1"/>
  <c r="F10" i="1"/>
  <c r="E10" i="1"/>
  <c r="E32" i="1" s="1"/>
  <c r="D10" i="1"/>
  <c r="D32" i="1" s="1"/>
  <c r="C10" i="1"/>
  <c r="B10" i="1"/>
  <c r="I9" i="1"/>
  <c r="H9" i="1"/>
  <c r="G9" i="1"/>
  <c r="G31" i="1" s="1"/>
  <c r="F9" i="1"/>
  <c r="E9" i="1"/>
  <c r="D9" i="1"/>
  <c r="C9" i="1"/>
  <c r="C31" i="1" s="1"/>
  <c r="B9" i="1"/>
  <c r="I8" i="1"/>
  <c r="H8" i="1"/>
  <c r="G8" i="1"/>
  <c r="F8" i="1"/>
  <c r="E8" i="1"/>
  <c r="D8" i="1"/>
  <c r="C8" i="1"/>
  <c r="B8" i="1"/>
  <c r="I7" i="1"/>
  <c r="H7" i="1"/>
  <c r="G7" i="1"/>
  <c r="G29" i="1" s="1"/>
  <c r="F7" i="1"/>
  <c r="E7" i="1"/>
  <c r="D7" i="1"/>
  <c r="C7" i="1"/>
  <c r="C29" i="1" s="1"/>
  <c r="B7" i="1"/>
  <c r="I6" i="1"/>
  <c r="H6" i="1"/>
  <c r="G6" i="1"/>
  <c r="F6" i="1"/>
  <c r="E6" i="1"/>
  <c r="D6" i="1"/>
  <c r="C6" i="1"/>
  <c r="B6" i="1"/>
  <c r="I5" i="1"/>
  <c r="H5" i="1"/>
  <c r="G5" i="1"/>
  <c r="G27" i="1" s="1"/>
  <c r="F5" i="1"/>
  <c r="E5" i="1"/>
  <c r="D5" i="1"/>
  <c r="C5" i="1"/>
  <c r="B5" i="1"/>
  <c r="B27" i="1" s="1"/>
  <c r="I4" i="1"/>
  <c r="H4" i="1"/>
  <c r="G4" i="1"/>
  <c r="F4" i="1"/>
  <c r="F26" i="1" s="1"/>
  <c r="E4" i="1"/>
  <c r="D4" i="1"/>
  <c r="C4" i="1"/>
  <c r="B4" i="1"/>
  <c r="I3" i="1"/>
  <c r="I25" i="1" s="1"/>
  <c r="H3" i="1"/>
  <c r="G3" i="1"/>
  <c r="F3" i="1"/>
  <c r="E3" i="1"/>
  <c r="D3" i="1"/>
  <c r="C3" i="1"/>
  <c r="H98" i="1" l="1"/>
  <c r="H29" i="1"/>
  <c r="H27" i="1"/>
  <c r="I92" i="1"/>
  <c r="H96" i="1"/>
  <c r="H94" i="1"/>
  <c r="B25" i="1"/>
  <c r="B31" i="1"/>
  <c r="F59" i="1"/>
  <c r="F27" i="1"/>
  <c r="F28" i="1"/>
  <c r="F29" i="1"/>
  <c r="B30" i="1"/>
  <c r="C27" i="1"/>
  <c r="E25" i="1"/>
  <c r="B28" i="1"/>
  <c r="B29" i="1"/>
  <c r="F30" i="1"/>
  <c r="F31" i="1"/>
  <c r="F32" i="1"/>
  <c r="I32" i="1"/>
  <c r="B92" i="1"/>
  <c r="B32" i="1"/>
  <c r="I59" i="1"/>
  <c r="C32" i="1"/>
  <c r="H99" i="1"/>
  <c r="H97" i="1"/>
  <c r="H95" i="1"/>
  <c r="H93" i="1"/>
  <c r="B26" i="1"/>
  <c r="E59" i="1"/>
  <c r="D25" i="1"/>
  <c r="H25" i="1"/>
  <c r="D26" i="1"/>
  <c r="H26" i="1"/>
  <c r="H31" i="1"/>
  <c r="H61" i="1"/>
  <c r="H62" i="1"/>
  <c r="H63" i="1"/>
  <c r="H64" i="1"/>
  <c r="H65" i="1"/>
  <c r="H66" i="1"/>
  <c r="F25" i="1"/>
  <c r="H30" i="1"/>
  <c r="D29" i="1"/>
  <c r="D28" i="1"/>
  <c r="G26" i="1"/>
  <c r="C26" i="1"/>
  <c r="G32" i="1"/>
  <c r="H60" i="1"/>
  <c r="D60" i="1"/>
  <c r="E92" i="1"/>
  <c r="D99" i="1"/>
  <c r="D98" i="1"/>
  <c r="D97" i="1"/>
  <c r="D96" i="1"/>
  <c r="D95" i="1"/>
  <c r="D94" i="1"/>
  <c r="G25" i="1"/>
  <c r="C25" i="1"/>
  <c r="G30" i="1"/>
  <c r="C30" i="1"/>
  <c r="G28" i="1"/>
  <c r="C28" i="1"/>
  <c r="H32" i="1"/>
  <c r="C60" i="1"/>
  <c r="C93" i="1"/>
  <c r="D31" i="1"/>
  <c r="D30" i="1"/>
  <c r="H28" i="1"/>
  <c r="D27" i="1"/>
  <c r="D93" i="1"/>
  <c r="H59" i="1"/>
  <c r="D59" i="1"/>
  <c r="H92" i="1"/>
  <c r="D92" i="1"/>
  <c r="G99" i="1"/>
  <c r="C99" i="1"/>
  <c r="G98" i="1"/>
  <c r="C98" i="1"/>
  <c r="G97" i="1"/>
  <c r="C97" i="1"/>
  <c r="G96" i="1"/>
  <c r="C96" i="1"/>
  <c r="G95" i="1"/>
  <c r="C95" i="1"/>
  <c r="G94" i="1"/>
  <c r="C94" i="1"/>
  <c r="G93" i="1"/>
  <c r="I31" i="1"/>
  <c r="E31" i="1"/>
  <c r="I30" i="1"/>
  <c r="E30" i="1"/>
  <c r="I29" i="1"/>
  <c r="E29" i="1"/>
  <c r="I28" i="1"/>
  <c r="E28" i="1"/>
  <c r="I27" i="1"/>
  <c r="E27" i="1"/>
  <c r="B59" i="1"/>
  <c r="I60" i="1"/>
  <c r="E60" i="1"/>
  <c r="F92" i="1"/>
  <c r="I99" i="1"/>
  <c r="E99" i="1"/>
  <c r="I98" i="1"/>
  <c r="E98" i="1"/>
  <c r="I97" i="1"/>
  <c r="E97" i="1"/>
  <c r="I96" i="1"/>
  <c r="E96" i="1"/>
  <c r="I95" i="1"/>
  <c r="E95" i="1"/>
  <c r="I94" i="1"/>
  <c r="E94" i="1"/>
  <c r="I93" i="1"/>
  <c r="E93" i="1"/>
  <c r="I26" i="1"/>
  <c r="E26" i="1"/>
  <c r="G59" i="1"/>
  <c r="C59" i="1"/>
</calcChain>
</file>

<file path=xl/sharedStrings.xml><?xml version="1.0" encoding="utf-8"?>
<sst xmlns="http://schemas.openxmlformats.org/spreadsheetml/2006/main" count="18" uniqueCount="11">
  <si>
    <t>частота\канал</t>
  </si>
  <si>
    <t>частота/канал</t>
  </si>
  <si>
    <t>Установленное значение при коэффициенте усиления BOE "-1", BOC "0"</t>
  </si>
  <si>
    <t>Измеренное значение при коэффициенте усиления BOE "-1", BOC "0"</t>
  </si>
  <si>
    <t>Погрешность при коеффициенте усления BOE "-1", BOC "0"</t>
  </si>
  <si>
    <t>Установленное значение при коэффициенте усиления BOE "-1", BOC "3"</t>
  </si>
  <si>
    <t>Измеренное значение при коэффициенте усиления BOE "-1", BOC "3"</t>
  </si>
  <si>
    <t>Погрешность при коеффициенте усления BOE "-1", BOC "3"</t>
  </si>
  <si>
    <t>Установленное значение при коэффициенте усиления BOE "0", BOC "0"</t>
  </si>
  <si>
    <t>Измеренное значение при коэффициенте усиления BOE "0", BOC "0"</t>
  </si>
  <si>
    <t>Погрешность при коеффициенте усления BOE "0", BOC "0"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</si>
</sst>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1" fontId="1" fillId="0" borderId="1" xfId="0" applyNumberFormat="1" applyFont="1" applyBorder="1"/>
    <xf numFmtId="165" fontId="0" fillId="0" borderId="0" xfId="0" applyNumberFormat="1"/>
    <xf numFmtId="0" fontId="0" fillId="0" borderId="0" xfId="0"/>
    <xf numFmtId="0" fontId="0" fillId="0" borderId="0" xfId="0" applyAlignment="1">
      <alignment horizontal="center"/>
    </xf>
  </cellXfs>
  <cellStyles count="1">
    <cellStyle name="Обычный" xfId="0" builtinId="0"/>
  </cellStyles>
  <dxfs count="4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9"/>
  <sheetViews>
    <sheetView tabSelected="1" topLeftCell="A4" workbookViewId="0">
      <selection activeCell="M10" sqref="M10"/>
    </sheetView>
  </sheetViews>
  <sheetFormatPr defaultRowHeight="15" x14ac:dyDescent="0.25"/>
  <cols>
    <col min="2" max="9" width="13.7109375" bestFit="1" customWidth="1"/>
    <col min="13" max="20" width="13.5703125" customWidth="1"/>
  </cols>
  <sheetData>
    <row r="1" spans="1:20" x14ac:dyDescent="0.25">
      <c r="A1" s="4" t="s">
        <v>2</v>
      </c>
      <c r="B1" s="4"/>
      <c r="C1" s="4"/>
      <c r="D1" s="4"/>
      <c r="E1" s="4"/>
      <c r="F1" s="4"/>
      <c r="G1" s="4"/>
      <c r="H1" s="4"/>
      <c r="I1" s="4"/>
      <c r="M1" s="2">
        <v>3.9177209999999999E-3</v>
      </c>
      <c r="N1" s="2">
        <v>3.9245820000000002E-3</v>
      </c>
      <c r="O1" s="2">
        <v>3.9139800000000001E-3</v>
      </c>
      <c r="P1" s="2">
        <v>3.9160619999999997E-3</v>
      </c>
      <c r="Q1" s="2">
        <v>3.926059E-3</v>
      </c>
      <c r="R1" s="2">
        <v>3.9146850000000002E-3</v>
      </c>
      <c r="S1" s="2">
        <v>3.9323459999999998E-3</v>
      </c>
      <c r="T1" s="2">
        <v>3.900517E-3</v>
      </c>
    </row>
    <row r="2" spans="1:20" x14ac:dyDescent="0.25">
      <c r="A2" t="s">
        <v>0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M2" s="2">
        <v>3.9582829999999999E-3</v>
      </c>
      <c r="N2" s="2">
        <v>3.9572660000000001E-3</v>
      </c>
      <c r="O2" s="2">
        <v>3.9403169999999996E-3</v>
      </c>
      <c r="P2" s="2">
        <v>3.9527570000000003E-3</v>
      </c>
      <c r="Q2" s="2">
        <v>3.9648859999999999E-3</v>
      </c>
      <c r="R2" s="2">
        <v>3.963996E-3</v>
      </c>
      <c r="S2" s="2">
        <v>3.9721640000000003E-3</v>
      </c>
      <c r="T2" s="2">
        <v>3.9541769999999997E-3</v>
      </c>
    </row>
    <row r="3" spans="1:20" x14ac:dyDescent="0.25">
      <c r="A3">
        <v>100</v>
      </c>
      <c r="B3" s="3">
        <f>M1</f>
        <v>3.9177209999999999E-3</v>
      </c>
      <c r="C3" s="3">
        <f t="shared" ref="C3:I10" si="0">N1</f>
        <v>3.9245820000000002E-3</v>
      </c>
      <c r="D3" s="3">
        <f t="shared" si="0"/>
        <v>3.9139800000000001E-3</v>
      </c>
      <c r="E3" s="3">
        <f t="shared" si="0"/>
        <v>3.9160619999999997E-3</v>
      </c>
      <c r="F3" s="3">
        <f t="shared" si="0"/>
        <v>3.926059E-3</v>
      </c>
      <c r="G3" s="3">
        <f t="shared" si="0"/>
        <v>3.9146850000000002E-3</v>
      </c>
      <c r="H3" s="3">
        <f t="shared" si="0"/>
        <v>3.9323459999999998E-3</v>
      </c>
      <c r="I3" s="3">
        <f t="shared" si="0"/>
        <v>3.900517E-3</v>
      </c>
      <c r="M3" s="2">
        <v>4.0526240000000003E-3</v>
      </c>
      <c r="N3" s="2">
        <v>4.0480150000000003E-3</v>
      </c>
      <c r="O3" s="2">
        <v>4.0363170000000002E-3</v>
      </c>
      <c r="P3" s="2">
        <v>4.0351809999999997E-3</v>
      </c>
      <c r="Q3" s="2">
        <v>4.0559400000000001E-3</v>
      </c>
      <c r="R3" s="2">
        <v>4.0550009999999999E-3</v>
      </c>
      <c r="S3" s="2">
        <v>4.0639630000000003E-3</v>
      </c>
      <c r="T3" s="2">
        <v>4.0433830000000002E-3</v>
      </c>
    </row>
    <row r="4" spans="1:20" x14ac:dyDescent="0.25">
      <c r="A4">
        <v>500</v>
      </c>
      <c r="B4" s="3">
        <f t="shared" ref="B4:B10" si="1">M2</f>
        <v>3.9582829999999999E-3</v>
      </c>
      <c r="C4" s="3">
        <f t="shared" si="0"/>
        <v>3.9572660000000001E-3</v>
      </c>
      <c r="D4" s="3">
        <f t="shared" si="0"/>
        <v>3.9403169999999996E-3</v>
      </c>
      <c r="E4" s="3">
        <f t="shared" si="0"/>
        <v>3.9527570000000003E-3</v>
      </c>
      <c r="F4" s="3">
        <f t="shared" si="0"/>
        <v>3.9648859999999999E-3</v>
      </c>
      <c r="G4" s="3">
        <f t="shared" si="0"/>
        <v>3.963996E-3</v>
      </c>
      <c r="H4" s="3">
        <f t="shared" si="0"/>
        <v>3.9721640000000003E-3</v>
      </c>
      <c r="I4" s="3">
        <f t="shared" si="0"/>
        <v>3.9541769999999997E-3</v>
      </c>
      <c r="M4" s="2">
        <v>6.2967359999999998E-3</v>
      </c>
      <c r="N4" s="2">
        <v>6.2820339999999997E-3</v>
      </c>
      <c r="O4" s="2">
        <v>6.2700860000000002E-3</v>
      </c>
      <c r="P4" s="2">
        <v>6.2737460000000002E-3</v>
      </c>
      <c r="Q4" s="2">
        <v>6.2743649999999996E-3</v>
      </c>
      <c r="R4" s="2">
        <v>6.2768279999999999E-3</v>
      </c>
      <c r="S4" s="2">
        <v>6.2784370000000004E-3</v>
      </c>
      <c r="T4" s="2">
        <v>6.2725480000000002E-3</v>
      </c>
    </row>
    <row r="5" spans="1:20" x14ac:dyDescent="0.25">
      <c r="A5">
        <v>1000</v>
      </c>
      <c r="B5" s="3">
        <f t="shared" si="1"/>
        <v>4.0526240000000003E-3</v>
      </c>
      <c r="C5" s="3">
        <f t="shared" si="0"/>
        <v>4.0480150000000003E-3</v>
      </c>
      <c r="D5" s="3">
        <f t="shared" si="0"/>
        <v>4.0363170000000002E-3</v>
      </c>
      <c r="E5" s="3">
        <f t="shared" si="0"/>
        <v>4.0351809999999997E-3</v>
      </c>
      <c r="F5" s="3">
        <f t="shared" si="0"/>
        <v>4.0559400000000001E-3</v>
      </c>
      <c r="G5" s="3">
        <f t="shared" si="0"/>
        <v>4.0550009999999999E-3</v>
      </c>
      <c r="H5" s="3">
        <f t="shared" si="0"/>
        <v>4.0639630000000003E-3</v>
      </c>
      <c r="I5" s="3">
        <f t="shared" si="0"/>
        <v>4.0433830000000002E-3</v>
      </c>
      <c r="M5" s="2">
        <v>1.0648856E-2</v>
      </c>
      <c r="N5" s="2">
        <v>1.061924E-2</v>
      </c>
      <c r="O5" s="2">
        <v>1.0611516E-2</v>
      </c>
      <c r="P5" s="2">
        <v>1.0606291E-2</v>
      </c>
      <c r="Q5" s="2">
        <v>1.0591676E-2</v>
      </c>
      <c r="R5" s="2">
        <v>1.0597021E-2</v>
      </c>
      <c r="S5" s="2">
        <v>1.0591239000000001E-2</v>
      </c>
      <c r="T5" s="2">
        <v>1.0604997E-2</v>
      </c>
    </row>
    <row r="6" spans="1:20" x14ac:dyDescent="0.25">
      <c r="A6">
        <v>5000</v>
      </c>
      <c r="B6" s="3">
        <f t="shared" si="1"/>
        <v>6.2967359999999998E-3</v>
      </c>
      <c r="C6" s="3">
        <f t="shared" si="0"/>
        <v>6.2820339999999997E-3</v>
      </c>
      <c r="D6" s="3">
        <f t="shared" si="0"/>
        <v>6.2700860000000002E-3</v>
      </c>
      <c r="E6" s="3">
        <f t="shared" si="0"/>
        <v>6.2737460000000002E-3</v>
      </c>
      <c r="F6" s="3">
        <f t="shared" si="0"/>
        <v>6.2743649999999996E-3</v>
      </c>
      <c r="G6" s="3">
        <f t="shared" si="0"/>
        <v>6.2768279999999999E-3</v>
      </c>
      <c r="H6" s="3">
        <f t="shared" si="0"/>
        <v>6.2784370000000004E-3</v>
      </c>
      <c r="I6" s="3">
        <f t="shared" si="0"/>
        <v>6.2725480000000002E-3</v>
      </c>
      <c r="M6" s="2">
        <v>4.9702216E-2</v>
      </c>
      <c r="N6" s="2">
        <v>4.9537744000000002E-2</v>
      </c>
      <c r="O6" s="2">
        <v>4.9537185999999997E-2</v>
      </c>
      <c r="P6" s="2">
        <v>4.9478553000000002E-2</v>
      </c>
      <c r="Q6" s="2">
        <v>4.9384095000000003E-2</v>
      </c>
      <c r="R6" s="2">
        <v>4.9410373E-2</v>
      </c>
      <c r="S6" s="2">
        <v>4.9362893999999997E-2</v>
      </c>
      <c r="T6" s="2">
        <v>4.9465268999999999E-2</v>
      </c>
    </row>
    <row r="7" spans="1:20" x14ac:dyDescent="0.25">
      <c r="A7">
        <v>10000</v>
      </c>
      <c r="B7" s="3">
        <f t="shared" si="1"/>
        <v>1.0648856E-2</v>
      </c>
      <c r="C7" s="3">
        <f t="shared" si="0"/>
        <v>1.061924E-2</v>
      </c>
      <c r="D7" s="3">
        <f t="shared" si="0"/>
        <v>1.0611516E-2</v>
      </c>
      <c r="E7" s="3">
        <f t="shared" si="0"/>
        <v>1.0606291E-2</v>
      </c>
      <c r="F7" s="3">
        <f t="shared" si="0"/>
        <v>1.0591676E-2</v>
      </c>
      <c r="G7" s="3">
        <f t="shared" si="0"/>
        <v>1.0597021E-2</v>
      </c>
      <c r="H7" s="3">
        <f t="shared" si="0"/>
        <v>1.0591239000000001E-2</v>
      </c>
      <c r="I7" s="3">
        <f t="shared" si="0"/>
        <v>1.0604997E-2</v>
      </c>
      <c r="M7" s="2">
        <v>9.9142237999999994E-2</v>
      </c>
      <c r="N7" s="2">
        <v>9.8819666E-2</v>
      </c>
      <c r="O7" s="2">
        <v>9.8827078999999998E-2</v>
      </c>
      <c r="P7" s="2">
        <v>9.8726347000000006E-2</v>
      </c>
      <c r="Q7" s="2">
        <v>9.8561019E-2</v>
      </c>
      <c r="R7" s="2">
        <v>9.8574430000000005E-2</v>
      </c>
      <c r="S7" s="2">
        <v>9.8466359000000003E-2</v>
      </c>
      <c r="T7" s="2">
        <v>9.8702781000000003E-2</v>
      </c>
    </row>
    <row r="8" spans="1:20" x14ac:dyDescent="0.25">
      <c r="A8">
        <v>50000</v>
      </c>
      <c r="B8" s="3">
        <f t="shared" si="1"/>
        <v>4.9702216E-2</v>
      </c>
      <c r="C8" s="3">
        <f t="shared" si="0"/>
        <v>4.9537744000000002E-2</v>
      </c>
      <c r="D8" s="3">
        <f t="shared" si="0"/>
        <v>4.9537185999999997E-2</v>
      </c>
      <c r="E8" s="3">
        <f t="shared" si="0"/>
        <v>4.9478553000000002E-2</v>
      </c>
      <c r="F8" s="3">
        <f t="shared" si="0"/>
        <v>4.9384095000000003E-2</v>
      </c>
      <c r="G8" s="3">
        <f t="shared" si="0"/>
        <v>4.9410373E-2</v>
      </c>
      <c r="H8" s="3">
        <f t="shared" si="0"/>
        <v>4.9362893999999997E-2</v>
      </c>
      <c r="I8" s="3">
        <f t="shared" si="0"/>
        <v>4.9465268999999999E-2</v>
      </c>
      <c r="M8" s="2">
        <v>0.13850158500000001</v>
      </c>
      <c r="N8" s="2">
        <v>0.138058245</v>
      </c>
      <c r="O8" s="2">
        <v>0.13808584199999999</v>
      </c>
      <c r="P8" s="2">
        <v>0.13795355000000001</v>
      </c>
      <c r="Q8" s="2">
        <v>0.13773542599999999</v>
      </c>
      <c r="R8" s="2">
        <v>0.13774322</v>
      </c>
      <c r="S8" s="2">
        <v>0.13757245200000001</v>
      </c>
      <c r="T8" s="2">
        <v>0.137919545</v>
      </c>
    </row>
    <row r="9" spans="1:20" x14ac:dyDescent="0.25">
      <c r="A9">
        <v>100000</v>
      </c>
      <c r="B9" s="3">
        <f t="shared" si="1"/>
        <v>9.9142237999999994E-2</v>
      </c>
      <c r="C9" s="3">
        <f t="shared" si="0"/>
        <v>9.8819666E-2</v>
      </c>
      <c r="D9" s="3">
        <f t="shared" si="0"/>
        <v>9.8827078999999998E-2</v>
      </c>
      <c r="E9" s="3">
        <f t="shared" si="0"/>
        <v>9.8726347000000006E-2</v>
      </c>
      <c r="F9" s="3">
        <f t="shared" si="0"/>
        <v>9.8561019E-2</v>
      </c>
      <c r="G9" s="3">
        <f t="shared" si="0"/>
        <v>9.8574430000000005E-2</v>
      </c>
      <c r="H9" s="3">
        <f t="shared" si="0"/>
        <v>9.8466359000000003E-2</v>
      </c>
      <c r="I9" s="3">
        <f t="shared" si="0"/>
        <v>9.8702781000000003E-2</v>
      </c>
      <c r="M9" s="2">
        <v>6.4974207000000005E-5</v>
      </c>
      <c r="N9" s="2">
        <v>6.3138933999999999E-5</v>
      </c>
      <c r="O9" s="2">
        <v>6.0985064999999997E-5</v>
      </c>
      <c r="P9" s="2">
        <v>5.9418137000000001E-5</v>
      </c>
      <c r="Q9" s="2">
        <v>7.1859475000000004E-5</v>
      </c>
      <c r="R9" s="2">
        <v>5.9741178000000003E-5</v>
      </c>
      <c r="S9" s="2">
        <v>6.3532665E-5</v>
      </c>
      <c r="T9" s="2">
        <v>6.5461725000000006E-5</v>
      </c>
    </row>
    <row r="10" spans="1:20" x14ac:dyDescent="0.25">
      <c r="A10">
        <v>140000</v>
      </c>
      <c r="B10" s="3">
        <f t="shared" si="1"/>
        <v>0.13850158500000001</v>
      </c>
      <c r="C10" s="3">
        <f t="shared" si="0"/>
        <v>0.138058245</v>
      </c>
      <c r="D10" s="3">
        <f t="shared" si="0"/>
        <v>0.13808584199999999</v>
      </c>
      <c r="E10" s="3">
        <f t="shared" si="0"/>
        <v>0.13795355000000001</v>
      </c>
      <c r="F10" s="3">
        <f t="shared" si="0"/>
        <v>0.13773542599999999</v>
      </c>
      <c r="G10" s="3">
        <f t="shared" si="0"/>
        <v>0.13774322</v>
      </c>
      <c r="H10" s="3">
        <f t="shared" si="0"/>
        <v>0.13757245200000001</v>
      </c>
      <c r="I10" s="3">
        <f t="shared" si="0"/>
        <v>0.137919545</v>
      </c>
      <c r="M10" s="2">
        <v>3.1662653799999999E-4</v>
      </c>
      <c r="N10" s="2">
        <v>3.1348018100000002E-4</v>
      </c>
      <c r="O10" s="2">
        <v>3.0935680800000002E-4</v>
      </c>
      <c r="P10" s="2">
        <v>3.0098628499999999E-4</v>
      </c>
      <c r="Q10" s="2">
        <v>3.0267791599999997E-4</v>
      </c>
      <c r="R10" s="2">
        <v>3.0913774399999997E-4</v>
      </c>
      <c r="S10" s="2">
        <v>3.0845101000000002E-4</v>
      </c>
      <c r="T10" s="2">
        <v>3.2014792699999999E-4</v>
      </c>
    </row>
    <row r="11" spans="1:20" x14ac:dyDescent="0.25">
      <c r="M11" s="2">
        <v>7.6310348200000003E-4</v>
      </c>
      <c r="N11" s="2">
        <v>7.5632432700000005E-4</v>
      </c>
      <c r="O11" s="2">
        <v>7.5472716700000005E-4</v>
      </c>
      <c r="P11" s="2">
        <v>7.4707123000000003E-4</v>
      </c>
      <c r="Q11" s="2">
        <v>7.4923009399999998E-4</v>
      </c>
      <c r="R11" s="2">
        <v>7.5610110100000005E-4</v>
      </c>
      <c r="S11" s="2">
        <v>7.5585447499999998E-4</v>
      </c>
      <c r="T11" s="2">
        <v>7.5654470099999996E-4</v>
      </c>
    </row>
    <row r="12" spans="1:20" x14ac:dyDescent="0.25">
      <c r="A12" s="4" t="s">
        <v>3</v>
      </c>
      <c r="B12" s="4"/>
      <c r="C12" s="4"/>
      <c r="D12" s="4"/>
      <c r="E12" s="4"/>
      <c r="F12" s="4"/>
      <c r="G12" s="4"/>
      <c r="H12" s="4"/>
      <c r="I12" s="4"/>
      <c r="M12" s="2">
        <v>4.7950029999999999E-3</v>
      </c>
      <c r="N12" s="2">
        <v>4.7672410000000002E-3</v>
      </c>
      <c r="O12" s="2">
        <v>4.760907E-3</v>
      </c>
      <c r="P12" s="2">
        <v>4.7537459999999997E-3</v>
      </c>
      <c r="Q12" s="2">
        <v>4.7539979999999997E-3</v>
      </c>
      <c r="R12" s="2">
        <v>4.7726239999999996E-3</v>
      </c>
      <c r="S12" s="2">
        <v>4.7500800000000003E-3</v>
      </c>
      <c r="T12" s="2">
        <v>4.7491469999999996E-3</v>
      </c>
    </row>
    <row r="13" spans="1:20" x14ac:dyDescent="0.25">
      <c r="A13" t="s">
        <v>0</v>
      </c>
      <c r="B13">
        <v>1</v>
      </c>
      <c r="C13">
        <v>2</v>
      </c>
      <c r="D13">
        <v>3</v>
      </c>
      <c r="E13">
        <v>4</v>
      </c>
      <c r="F13">
        <v>5</v>
      </c>
      <c r="G13">
        <v>6</v>
      </c>
      <c r="H13">
        <v>7</v>
      </c>
      <c r="I13">
        <v>8</v>
      </c>
      <c r="M13" s="2">
        <v>9.8244140000000001E-3</v>
      </c>
      <c r="N13" s="2">
        <v>9.7713179999999993E-3</v>
      </c>
      <c r="O13" s="2">
        <v>9.7673210000000007E-3</v>
      </c>
      <c r="P13" s="2">
        <v>9.7466979999999998E-3</v>
      </c>
      <c r="Q13" s="2">
        <v>9.747192E-3</v>
      </c>
      <c r="R13" s="2">
        <v>9.7801740000000009E-3</v>
      </c>
      <c r="S13" s="2">
        <v>9.7372889999999997E-3</v>
      </c>
      <c r="T13" s="2">
        <v>9.7378229999999996E-3</v>
      </c>
    </row>
    <row r="14" spans="1:20" x14ac:dyDescent="0.25">
      <c r="A14">
        <v>100</v>
      </c>
      <c r="B14" s="3">
        <f>M9*1000000</f>
        <v>64.974207000000007</v>
      </c>
      <c r="C14" s="3">
        <f t="shared" ref="C14:I14" si="2">N9*1000000</f>
        <v>63.138933999999999</v>
      </c>
      <c r="D14" s="3">
        <f t="shared" si="2"/>
        <v>60.985064999999999</v>
      </c>
      <c r="E14" s="3">
        <f t="shared" si="2"/>
        <v>59.418137000000002</v>
      </c>
      <c r="F14" s="3">
        <f t="shared" si="2"/>
        <v>71.859475000000003</v>
      </c>
      <c r="G14" s="3">
        <f t="shared" si="2"/>
        <v>59.741178000000005</v>
      </c>
      <c r="H14" s="3">
        <f t="shared" si="2"/>
        <v>63.532665000000001</v>
      </c>
      <c r="I14" s="3">
        <f t="shared" si="2"/>
        <v>65.461725000000001</v>
      </c>
      <c r="M14" s="2">
        <v>4.9936816000000002E-2</v>
      </c>
      <c r="N14" s="2">
        <v>4.9746390000000001E-2</v>
      </c>
      <c r="O14" s="2">
        <v>4.9744200000000002E-2</v>
      </c>
      <c r="P14" s="2">
        <v>4.9645456999999997E-2</v>
      </c>
      <c r="Q14" s="2">
        <v>4.9579329999999998E-2</v>
      </c>
      <c r="R14" s="2">
        <v>4.9718194E-2</v>
      </c>
      <c r="S14" s="2">
        <v>4.9550757000000001E-2</v>
      </c>
      <c r="T14" s="2">
        <v>4.9448478999999997E-2</v>
      </c>
    </row>
    <row r="15" spans="1:20" x14ac:dyDescent="0.25">
      <c r="A15">
        <v>500</v>
      </c>
      <c r="B15" s="3">
        <f>M10*1000000</f>
        <v>316.62653799999998</v>
      </c>
      <c r="C15" s="3">
        <f t="shared" ref="C15:C20" si="3">N10*1000000</f>
        <v>313.48018100000002</v>
      </c>
      <c r="D15" s="3">
        <f t="shared" ref="D15:D20" si="4">O10*1000000</f>
        <v>309.356808</v>
      </c>
      <c r="E15" s="3">
        <f t="shared" ref="E15:E20" si="5">P10*1000000</f>
        <v>300.98628500000001</v>
      </c>
      <c r="F15" s="3">
        <f t="shared" ref="F15:F20" si="6">Q10*1000000</f>
        <v>302.67791599999998</v>
      </c>
      <c r="G15" s="3">
        <f t="shared" ref="G15:G20" si="7">R10*1000000</f>
        <v>309.137744</v>
      </c>
      <c r="H15" s="3">
        <f t="shared" ref="H15:H20" si="8">S10*1000000</f>
        <v>308.45101</v>
      </c>
      <c r="I15" s="3">
        <f t="shared" ref="I15:I20" si="9">T10*1000000</f>
        <v>320.14792699999998</v>
      </c>
      <c r="M15" s="2">
        <v>9.9929965999999995E-2</v>
      </c>
      <c r="N15" s="2">
        <v>9.9542863999999995E-2</v>
      </c>
      <c r="O15" s="2">
        <v>9.9448822000000006E-2</v>
      </c>
      <c r="P15" s="2">
        <v>9.9269978999999994E-2</v>
      </c>
      <c r="Q15" s="2">
        <v>9.9081463999999994E-2</v>
      </c>
      <c r="R15" s="2">
        <v>9.9429070999999994E-2</v>
      </c>
      <c r="S15" s="2">
        <v>9.9109784000000006E-2</v>
      </c>
      <c r="T15" s="2">
        <v>9.8872854999999996E-2</v>
      </c>
    </row>
    <row r="16" spans="1:20" x14ac:dyDescent="0.25">
      <c r="A16">
        <v>1000</v>
      </c>
      <c r="B16" s="3">
        <f t="shared" ref="B16:B20" si="10">M11*1000000</f>
        <v>763.10348199999999</v>
      </c>
      <c r="C16" s="3">
        <f>N11*1000000</f>
        <v>756.32432700000004</v>
      </c>
      <c r="D16" s="3">
        <f t="shared" si="4"/>
        <v>754.72716700000001</v>
      </c>
      <c r="E16" s="3">
        <f t="shared" si="5"/>
        <v>747.07123000000001</v>
      </c>
      <c r="F16" s="3">
        <f t="shared" si="6"/>
        <v>749.23009400000001</v>
      </c>
      <c r="G16" s="3">
        <f t="shared" si="7"/>
        <v>756.10110100000009</v>
      </c>
      <c r="H16" s="3">
        <f t="shared" si="8"/>
        <v>755.85447499999998</v>
      </c>
      <c r="I16" s="3">
        <f t="shared" si="9"/>
        <v>756.54470099999992</v>
      </c>
      <c r="M16" s="2">
        <v>0.139990166</v>
      </c>
      <c r="N16" s="2">
        <v>0.13942949499999999</v>
      </c>
      <c r="O16" s="2">
        <v>0.13931305699999999</v>
      </c>
      <c r="P16" s="2">
        <v>0.13900803</v>
      </c>
      <c r="Q16" s="2">
        <v>0.13875506800000001</v>
      </c>
      <c r="R16" s="2">
        <v>0.13921129700000001</v>
      </c>
      <c r="S16" s="2">
        <v>0.13890692599999999</v>
      </c>
      <c r="T16" s="2">
        <v>0.138509154</v>
      </c>
    </row>
    <row r="17" spans="1:20" x14ac:dyDescent="0.25">
      <c r="A17">
        <v>5000</v>
      </c>
      <c r="B17" s="3">
        <f t="shared" si="10"/>
        <v>4795.0029999999997</v>
      </c>
      <c r="C17" s="3">
        <f t="shared" si="3"/>
        <v>4767.241</v>
      </c>
      <c r="D17" s="3">
        <f t="shared" si="4"/>
        <v>4760.9070000000002</v>
      </c>
      <c r="E17" s="3">
        <f t="shared" si="5"/>
        <v>4753.7460000000001</v>
      </c>
      <c r="F17" s="3">
        <f t="shared" si="6"/>
        <v>4753.9979999999996</v>
      </c>
      <c r="G17" s="3">
        <f t="shared" si="7"/>
        <v>4772.6239999999998</v>
      </c>
      <c r="H17" s="3">
        <f t="shared" si="8"/>
        <v>4750.08</v>
      </c>
      <c r="I17" s="3">
        <f t="shared" si="9"/>
        <v>4749.1469999999999</v>
      </c>
      <c r="M17" s="2">
        <v>3.9166490000000003E-3</v>
      </c>
      <c r="N17" s="2">
        <v>3.9104020000000003E-3</v>
      </c>
      <c r="O17" s="2">
        <v>3.9143859999999997E-3</v>
      </c>
      <c r="P17" s="2">
        <v>3.9194950000000003E-3</v>
      </c>
      <c r="Q17" s="2">
        <v>3.9321690000000001E-3</v>
      </c>
      <c r="R17" s="2">
        <v>3.9248720000000003E-3</v>
      </c>
      <c r="S17" s="2">
        <v>3.9415559999999997E-3</v>
      </c>
      <c r="T17" s="2">
        <v>3.9111800000000002E-3</v>
      </c>
    </row>
    <row r="18" spans="1:20" x14ac:dyDescent="0.25">
      <c r="A18">
        <v>10000</v>
      </c>
      <c r="B18" s="3">
        <f t="shared" si="10"/>
        <v>9824.4140000000007</v>
      </c>
      <c r="C18" s="3">
        <f t="shared" si="3"/>
        <v>9771.3179999999993</v>
      </c>
      <c r="D18" s="3">
        <f t="shared" si="4"/>
        <v>9767.3209999999999</v>
      </c>
      <c r="E18" s="3">
        <f t="shared" si="5"/>
        <v>9746.6980000000003</v>
      </c>
      <c r="F18" s="3">
        <f t="shared" si="6"/>
        <v>9747.1920000000009</v>
      </c>
      <c r="G18" s="3">
        <f t="shared" si="7"/>
        <v>9780.1740000000009</v>
      </c>
      <c r="H18" s="3">
        <f t="shared" si="8"/>
        <v>9737.2889999999989</v>
      </c>
      <c r="I18" s="3">
        <f t="shared" si="9"/>
        <v>9737.8230000000003</v>
      </c>
      <c r="M18" s="2">
        <v>3.9471619999999997E-3</v>
      </c>
      <c r="N18" s="2">
        <v>3.9402730000000002E-3</v>
      </c>
      <c r="O18" s="2">
        <v>3.9351949999999998E-3</v>
      </c>
      <c r="P18" s="2">
        <v>3.9546729999999997E-3</v>
      </c>
      <c r="Q18" s="2">
        <v>3.9615900000000001E-3</v>
      </c>
      <c r="R18" s="2">
        <v>3.9512640000000003E-3</v>
      </c>
      <c r="S18" s="2">
        <v>3.9687000000000004E-3</v>
      </c>
      <c r="T18" s="2">
        <v>3.9427339999999998E-3</v>
      </c>
    </row>
    <row r="19" spans="1:20" x14ac:dyDescent="0.25">
      <c r="A19">
        <v>50000</v>
      </c>
      <c r="B19" s="3">
        <f t="shared" si="10"/>
        <v>49936.815999999999</v>
      </c>
      <c r="C19" s="3">
        <f t="shared" si="3"/>
        <v>49746.39</v>
      </c>
      <c r="D19" s="3">
        <f t="shared" si="4"/>
        <v>49744.200000000004</v>
      </c>
      <c r="E19" s="3">
        <f t="shared" si="5"/>
        <v>49645.456999999995</v>
      </c>
      <c r="F19" s="3">
        <f t="shared" si="6"/>
        <v>49579.329999999994</v>
      </c>
      <c r="G19" s="3">
        <f t="shared" si="7"/>
        <v>49718.194000000003</v>
      </c>
      <c r="H19" s="3">
        <f t="shared" si="8"/>
        <v>49550.756999999998</v>
      </c>
      <c r="I19" s="3">
        <f t="shared" si="9"/>
        <v>49448.478999999999</v>
      </c>
      <c r="M19" s="2">
        <v>4.0341880000000002E-3</v>
      </c>
      <c r="N19" s="2">
        <v>4.0371959999999998E-3</v>
      </c>
      <c r="O19" s="2">
        <v>4.032847E-3</v>
      </c>
      <c r="P19" s="2">
        <v>4.0399980000000004E-3</v>
      </c>
      <c r="Q19" s="2">
        <v>4.0527669999999997E-3</v>
      </c>
      <c r="R19" s="2">
        <v>4.0388430000000003E-3</v>
      </c>
      <c r="S19" s="2">
        <v>4.0645079999999997E-3</v>
      </c>
      <c r="T19" s="2">
        <v>4.0338090000000002E-3</v>
      </c>
    </row>
    <row r="20" spans="1:20" x14ac:dyDescent="0.25">
      <c r="A20">
        <v>100000</v>
      </c>
      <c r="B20" s="3">
        <f t="shared" si="10"/>
        <v>99929.966</v>
      </c>
      <c r="C20" s="3">
        <f t="shared" si="3"/>
        <v>99542.864000000001</v>
      </c>
      <c r="D20" s="3">
        <f t="shared" si="4"/>
        <v>99448.822</v>
      </c>
      <c r="E20" s="3">
        <f t="shared" si="5"/>
        <v>99269.978999999992</v>
      </c>
      <c r="F20" s="3">
        <f t="shared" si="6"/>
        <v>99081.463999999993</v>
      </c>
      <c r="G20" s="3">
        <f t="shared" si="7"/>
        <v>99429.070999999996</v>
      </c>
      <c r="H20" s="3">
        <f t="shared" si="8"/>
        <v>99109.784</v>
      </c>
      <c r="I20" s="3">
        <f t="shared" si="9"/>
        <v>98872.854999999996</v>
      </c>
      <c r="M20" s="2">
        <v>6.2912189999999998E-3</v>
      </c>
      <c r="N20" s="2">
        <v>6.2822340000000003E-3</v>
      </c>
      <c r="O20" s="2">
        <v>6.2795100000000003E-3</v>
      </c>
      <c r="P20" s="2">
        <v>6.2750540000000004E-3</v>
      </c>
      <c r="Q20" s="2">
        <v>6.2730920000000001E-3</v>
      </c>
      <c r="R20" s="2">
        <v>6.2819850000000003E-3</v>
      </c>
      <c r="S20" s="2">
        <v>6.2835590000000002E-3</v>
      </c>
      <c r="T20" s="2">
        <v>6.2665680000000001E-3</v>
      </c>
    </row>
    <row r="21" spans="1:20" x14ac:dyDescent="0.25">
      <c r="A21">
        <v>140000</v>
      </c>
      <c r="B21" s="3">
        <f t="shared" ref="B21:I21" si="11">M16*1000000</f>
        <v>139990.166</v>
      </c>
      <c r="C21" s="3">
        <f t="shared" si="11"/>
        <v>139429.495</v>
      </c>
      <c r="D21" s="3">
        <f t="shared" si="11"/>
        <v>139313.057</v>
      </c>
      <c r="E21" s="3">
        <f t="shared" si="11"/>
        <v>139008.03</v>
      </c>
      <c r="F21" s="3">
        <f t="shared" si="11"/>
        <v>138755.068</v>
      </c>
      <c r="G21" s="3">
        <f t="shared" si="11"/>
        <v>139211.29700000002</v>
      </c>
      <c r="H21" s="3">
        <f t="shared" si="11"/>
        <v>138906.92599999998</v>
      </c>
      <c r="I21" s="3">
        <f t="shared" si="11"/>
        <v>138509.15400000001</v>
      </c>
      <c r="M21" s="2">
        <v>1.0646533E-2</v>
      </c>
      <c r="N21" s="2">
        <v>1.0619529000000001E-2</v>
      </c>
      <c r="O21" s="2">
        <v>1.0611109000000001E-2</v>
      </c>
      <c r="P21" s="2">
        <v>1.0606947E-2</v>
      </c>
      <c r="Q21" s="2">
        <v>1.0594385E-2</v>
      </c>
      <c r="R21" s="2">
        <v>1.0597548E-2</v>
      </c>
      <c r="S21" s="2">
        <v>1.0590921E-2</v>
      </c>
      <c r="T21" s="2">
        <v>1.0605765E-2</v>
      </c>
    </row>
    <row r="22" spans="1:20" x14ac:dyDescent="0.25">
      <c r="M22" s="2">
        <v>4.9701333E-2</v>
      </c>
      <c r="N22" s="2">
        <v>4.9534417999999997E-2</v>
      </c>
      <c r="O22" s="2">
        <v>4.9537495000000001E-2</v>
      </c>
      <c r="P22" s="2">
        <v>4.9478347999999998E-2</v>
      </c>
      <c r="Q22" s="2">
        <v>4.9389298999999998E-2</v>
      </c>
      <c r="R22" s="2">
        <v>4.9408246000000003E-2</v>
      </c>
      <c r="S22" s="2">
        <v>4.9362540000000003E-2</v>
      </c>
      <c r="T22" s="2">
        <v>4.9463767999999998E-2</v>
      </c>
    </row>
    <row r="23" spans="1:20" x14ac:dyDescent="0.25">
      <c r="A23" s="5" t="s">
        <v>4</v>
      </c>
      <c r="B23" s="5"/>
      <c r="C23" s="5"/>
      <c r="D23" s="5"/>
      <c r="E23" s="5"/>
      <c r="F23" s="5"/>
      <c r="G23" s="5"/>
      <c r="H23" s="5"/>
      <c r="I23" s="5"/>
      <c r="M23" s="2">
        <v>9.9142589000000003E-2</v>
      </c>
      <c r="N23" s="2">
        <v>9.8816699999999993E-2</v>
      </c>
      <c r="O23" s="2">
        <v>9.8835840999999994E-2</v>
      </c>
      <c r="P23" s="2">
        <v>9.8728239999999995E-2</v>
      </c>
      <c r="Q23" s="2">
        <v>9.8563238999999997E-2</v>
      </c>
      <c r="R23" s="2">
        <v>9.858422E-2</v>
      </c>
      <c r="S23" s="2">
        <v>9.8468407999999993E-2</v>
      </c>
      <c r="T23" s="2">
        <v>9.8697871000000006E-2</v>
      </c>
    </row>
    <row r="24" spans="1:20" x14ac:dyDescent="0.25">
      <c r="A24" t="s">
        <v>0</v>
      </c>
      <c r="B24">
        <v>1</v>
      </c>
      <c r="C24">
        <v>2</v>
      </c>
      <c r="D24">
        <v>3</v>
      </c>
      <c r="E24">
        <v>4</v>
      </c>
      <c r="F24">
        <v>5</v>
      </c>
      <c r="G24">
        <v>6</v>
      </c>
      <c r="H24">
        <v>7</v>
      </c>
      <c r="I24">
        <v>8</v>
      </c>
      <c r="M24" s="2">
        <v>0.13850262799999999</v>
      </c>
      <c r="N24" s="2">
        <v>0.13804988600000001</v>
      </c>
      <c r="O24" s="2">
        <v>0.13808237000000001</v>
      </c>
      <c r="P24" s="2">
        <v>0.13795743899999999</v>
      </c>
      <c r="Q24" s="2">
        <v>0.137740642</v>
      </c>
      <c r="R24" s="2">
        <v>0.13773263999999999</v>
      </c>
      <c r="S24" s="2">
        <v>0.137572795</v>
      </c>
      <c r="T24" s="2">
        <v>0.13791382299999999</v>
      </c>
    </row>
    <row r="25" spans="1:20" x14ac:dyDescent="0.25">
      <c r="A25">
        <v>100</v>
      </c>
      <c r="B25" s="1">
        <f>B14-B3</f>
        <v>64.970289279000013</v>
      </c>
      <c r="C25" s="1">
        <f t="shared" ref="C25:I25" si="12">C14-C3</f>
        <v>63.135009417999996</v>
      </c>
      <c r="D25" s="1">
        <f t="shared" si="12"/>
        <v>60.981151019999999</v>
      </c>
      <c r="E25" s="1">
        <f t="shared" si="12"/>
        <v>59.414220938</v>
      </c>
      <c r="F25" s="1">
        <f t="shared" si="12"/>
        <v>71.855548941000009</v>
      </c>
      <c r="G25" s="1">
        <f t="shared" si="12"/>
        <v>59.737263315000007</v>
      </c>
      <c r="H25" s="1">
        <f t="shared" si="12"/>
        <v>63.528732654000002</v>
      </c>
      <c r="I25" s="1">
        <f t="shared" si="12"/>
        <v>65.457824482999996</v>
      </c>
      <c r="M25" s="2">
        <v>1.06368519E-4</v>
      </c>
      <c r="N25" s="2">
        <v>1.05211599E-4</v>
      </c>
      <c r="O25" s="2">
        <v>1.0511141599999999E-4</v>
      </c>
      <c r="P25" s="2">
        <v>1.04011575E-4</v>
      </c>
      <c r="Q25" s="2">
        <v>1.03437167E-4</v>
      </c>
      <c r="R25" s="2">
        <v>1.0559163600000001E-4</v>
      </c>
      <c r="S25" s="2">
        <v>1.0422987499999999E-4</v>
      </c>
      <c r="T25" s="2">
        <v>1.0523851999999999E-4</v>
      </c>
    </row>
    <row r="26" spans="1:20" x14ac:dyDescent="0.25">
      <c r="A26">
        <v>500</v>
      </c>
      <c r="B26" s="1">
        <f t="shared" ref="B26:I26" si="13">B15-B4</f>
        <v>316.62257971700001</v>
      </c>
      <c r="C26" s="1">
        <f t="shared" si="13"/>
        <v>313.47622373400003</v>
      </c>
      <c r="D26" s="1">
        <f t="shared" si="13"/>
        <v>309.352867683</v>
      </c>
      <c r="E26" s="1">
        <f t="shared" si="13"/>
        <v>300.98233224300003</v>
      </c>
      <c r="F26" s="1">
        <f t="shared" si="13"/>
        <v>302.67395111399998</v>
      </c>
      <c r="G26" s="1">
        <f t="shared" si="13"/>
        <v>309.13378000400002</v>
      </c>
      <c r="H26" s="1">
        <f t="shared" si="13"/>
        <v>308.44703783599999</v>
      </c>
      <c r="I26" s="1">
        <f t="shared" si="13"/>
        <v>320.14397282299996</v>
      </c>
      <c r="M26" s="2">
        <v>4.7238264200000001E-4</v>
      </c>
      <c r="N26" s="2">
        <v>4.6522964800000001E-4</v>
      </c>
      <c r="O26" s="2">
        <v>4.6285311700000002E-4</v>
      </c>
      <c r="P26" s="2">
        <v>4.6021505800000002E-4</v>
      </c>
      <c r="Q26" s="2">
        <v>4.6394183299999997E-4</v>
      </c>
      <c r="R26" s="2">
        <v>4.7032433200000002E-4</v>
      </c>
      <c r="S26" s="2">
        <v>4.6536611600000001E-4</v>
      </c>
      <c r="T26" s="2">
        <v>4.73095715E-4</v>
      </c>
    </row>
    <row r="27" spans="1:20" x14ac:dyDescent="0.25">
      <c r="A27">
        <v>1000</v>
      </c>
      <c r="B27" s="1">
        <f t="shared" ref="B27:I27" si="14">B16-B5</f>
        <v>763.09942937599999</v>
      </c>
      <c r="C27" s="1">
        <f t="shared" si="14"/>
        <v>756.32027898500007</v>
      </c>
      <c r="D27" s="1">
        <f t="shared" si="14"/>
        <v>754.72313068300002</v>
      </c>
      <c r="E27" s="1">
        <f t="shared" si="14"/>
        <v>747.06719481900006</v>
      </c>
      <c r="F27" s="1">
        <f t="shared" si="14"/>
        <v>749.22603806000006</v>
      </c>
      <c r="G27" s="1">
        <f t="shared" si="14"/>
        <v>756.0970459990001</v>
      </c>
      <c r="H27" s="1">
        <f t="shared" si="14"/>
        <v>755.85041103699996</v>
      </c>
      <c r="I27" s="1">
        <f t="shared" si="14"/>
        <v>756.54065761699997</v>
      </c>
      <c r="M27" s="2">
        <v>9.8082004099999992E-4</v>
      </c>
      <c r="N27" s="2">
        <v>9.75378964E-4</v>
      </c>
      <c r="O27" s="2">
        <v>9.7728706900000002E-4</v>
      </c>
      <c r="P27" s="2">
        <v>9.7193784299999997E-4</v>
      </c>
      <c r="Q27" s="2">
        <v>9.7610440599999999E-4</v>
      </c>
      <c r="R27" s="2">
        <v>9.7918906200000007E-4</v>
      </c>
      <c r="S27" s="2">
        <v>9.7693956899999991E-4</v>
      </c>
      <c r="T27" s="2">
        <v>9.7611494099999997E-4</v>
      </c>
    </row>
    <row r="28" spans="1:20" x14ac:dyDescent="0.25">
      <c r="A28">
        <v>5000</v>
      </c>
      <c r="B28" s="1">
        <f t="shared" ref="B28:I28" si="15">B17-B6</f>
        <v>4794.9967032639997</v>
      </c>
      <c r="C28" s="1">
        <f t="shared" si="15"/>
        <v>4767.2347179660001</v>
      </c>
      <c r="D28" s="1">
        <f t="shared" si="15"/>
        <v>4760.9007299140003</v>
      </c>
      <c r="E28" s="1">
        <f t="shared" si="15"/>
        <v>4753.7397262539998</v>
      </c>
      <c r="F28" s="1">
        <f t="shared" si="15"/>
        <v>4753.991725635</v>
      </c>
      <c r="G28" s="1">
        <f t="shared" si="15"/>
        <v>4772.6177231719994</v>
      </c>
      <c r="H28" s="1">
        <f t="shared" si="15"/>
        <v>4750.0737215629997</v>
      </c>
      <c r="I28" s="1">
        <f t="shared" si="15"/>
        <v>4749.1407274519997</v>
      </c>
      <c r="M28" s="2">
        <v>5.0111219999999998E-3</v>
      </c>
      <c r="N28" s="2">
        <v>4.9824090000000001E-3</v>
      </c>
      <c r="O28" s="2">
        <v>4.9820519999999998E-3</v>
      </c>
      <c r="P28" s="2">
        <v>4.967104E-3</v>
      </c>
      <c r="Q28" s="2">
        <v>4.9818789999999998E-3</v>
      </c>
      <c r="R28" s="2">
        <v>4.9959430000000001E-3</v>
      </c>
      <c r="S28" s="2">
        <v>4.9831169999999996E-3</v>
      </c>
      <c r="T28" s="2">
        <v>4.9831140000000003E-3</v>
      </c>
    </row>
    <row r="29" spans="1:20" x14ac:dyDescent="0.25">
      <c r="A29">
        <v>10000</v>
      </c>
      <c r="B29" s="1">
        <f t="shared" ref="B29:I29" si="16">B18-B7</f>
        <v>9824.4033511440011</v>
      </c>
      <c r="C29" s="1">
        <f t="shared" si="16"/>
        <v>9771.3073807599994</v>
      </c>
      <c r="D29" s="1">
        <f t="shared" si="16"/>
        <v>9767.3103884840002</v>
      </c>
      <c r="E29" s="1">
        <f t="shared" si="16"/>
        <v>9746.6873937090004</v>
      </c>
      <c r="F29" s="1">
        <f t="shared" si="16"/>
        <v>9747.1814083240006</v>
      </c>
      <c r="G29" s="1">
        <f t="shared" si="16"/>
        <v>9780.1634029790002</v>
      </c>
      <c r="H29" s="1">
        <f t="shared" si="16"/>
        <v>9737.278408760998</v>
      </c>
      <c r="I29" s="1">
        <f t="shared" si="16"/>
        <v>9737.8123950030003</v>
      </c>
      <c r="M29" s="2">
        <v>1.0042719E-2</v>
      </c>
      <c r="N29" s="2">
        <v>9.9893719999999998E-3</v>
      </c>
      <c r="O29" s="2">
        <v>9.9867819999999996E-3</v>
      </c>
      <c r="P29" s="2">
        <v>9.9605900000000001E-3</v>
      </c>
      <c r="Q29" s="2">
        <v>9.9815430000000007E-3</v>
      </c>
      <c r="R29" s="2">
        <v>1.0012589000000001E-2</v>
      </c>
      <c r="S29" s="2">
        <v>9.990624E-3</v>
      </c>
      <c r="T29" s="2">
        <v>9.9859949999999992E-3</v>
      </c>
    </row>
    <row r="30" spans="1:20" x14ac:dyDescent="0.25">
      <c r="A30">
        <v>50000</v>
      </c>
      <c r="B30" s="1">
        <f t="shared" ref="B30:I30" si="17">B19-B8</f>
        <v>49936.766297784001</v>
      </c>
      <c r="C30" s="1">
        <f t="shared" si="17"/>
        <v>49746.340462255997</v>
      </c>
      <c r="D30" s="1">
        <f t="shared" si="17"/>
        <v>49744.150462814003</v>
      </c>
      <c r="E30" s="1">
        <f t="shared" si="17"/>
        <v>49645.407521446992</v>
      </c>
      <c r="F30" s="1">
        <f t="shared" si="17"/>
        <v>49579.280615904994</v>
      </c>
      <c r="G30" s="1">
        <f t="shared" si="17"/>
        <v>49718.144589627002</v>
      </c>
      <c r="H30" s="1">
        <f t="shared" si="17"/>
        <v>49550.707637105996</v>
      </c>
      <c r="I30" s="1">
        <f t="shared" si="17"/>
        <v>49448.429534730996</v>
      </c>
      <c r="M30" s="2">
        <v>5.0255958000000003E-2</v>
      </c>
      <c r="N30" s="2">
        <v>5.0076913000000001E-2</v>
      </c>
      <c r="O30" s="2">
        <v>5.0037383999999997E-2</v>
      </c>
      <c r="P30" s="2">
        <v>4.9928940999999998E-2</v>
      </c>
      <c r="Q30" s="2">
        <v>4.9985465E-2</v>
      </c>
      <c r="R30" s="2">
        <v>5.0098956E-2</v>
      </c>
      <c r="S30" s="2">
        <v>5.0032831999999999E-2</v>
      </c>
      <c r="T30" s="2">
        <v>4.9933924999999997E-2</v>
      </c>
    </row>
    <row r="31" spans="1:20" x14ac:dyDescent="0.25">
      <c r="A31">
        <v>100000</v>
      </c>
      <c r="B31" s="1">
        <f t="shared" ref="B31:I31" si="18">B20-B9</f>
        <v>99929.866857761997</v>
      </c>
      <c r="C31" s="1">
        <f t="shared" si="18"/>
        <v>99542.765180333998</v>
      </c>
      <c r="D31" s="1">
        <f t="shared" si="18"/>
        <v>99448.723172921003</v>
      </c>
      <c r="E31" s="1">
        <f t="shared" si="18"/>
        <v>99269.880273652991</v>
      </c>
      <c r="F31" s="1">
        <f t="shared" si="18"/>
        <v>99081.365438980996</v>
      </c>
      <c r="G31" s="1">
        <f t="shared" si="18"/>
        <v>99428.972425569998</v>
      </c>
      <c r="H31" s="1">
        <f t="shared" si="18"/>
        <v>99109.685533640994</v>
      </c>
      <c r="I31" s="1">
        <f t="shared" si="18"/>
        <v>98872.756297218992</v>
      </c>
      <c r="M31" s="2">
        <v>0.100332044</v>
      </c>
      <c r="N31" s="2">
        <v>0.100027248</v>
      </c>
      <c r="O31" s="2">
        <v>9.9913925000000001E-2</v>
      </c>
      <c r="P31" s="2">
        <v>9.9689253000000005E-2</v>
      </c>
      <c r="Q31" s="2">
        <v>9.9748983999999999E-2</v>
      </c>
      <c r="R31" s="2">
        <v>9.9981278000000007E-2</v>
      </c>
      <c r="S31" s="2">
        <v>9.9913709000000003E-2</v>
      </c>
      <c r="T31" s="2">
        <v>9.9662490000000006E-2</v>
      </c>
    </row>
    <row r="32" spans="1:20" x14ac:dyDescent="0.25">
      <c r="A32">
        <v>140000</v>
      </c>
      <c r="B32" s="1">
        <f t="shared" ref="B32:I32" si="19">B21-B10</f>
        <v>139990.027498415</v>
      </c>
      <c r="C32" s="1">
        <f t="shared" si="19"/>
        <v>139429.35694175499</v>
      </c>
      <c r="D32" s="1">
        <f t="shared" si="19"/>
        <v>139312.91891415801</v>
      </c>
      <c r="E32" s="1">
        <f t="shared" si="19"/>
        <v>139007.89204645</v>
      </c>
      <c r="F32" s="1">
        <f t="shared" si="19"/>
        <v>138754.93026457401</v>
      </c>
      <c r="G32" s="1">
        <f t="shared" si="19"/>
        <v>139211.15925678003</v>
      </c>
      <c r="H32" s="1">
        <f t="shared" si="19"/>
        <v>138906.78842754799</v>
      </c>
      <c r="I32" s="1">
        <f t="shared" si="19"/>
        <v>138509.01608045501</v>
      </c>
      <c r="M32" s="2">
        <v>0.120294161</v>
      </c>
      <c r="N32" s="2">
        <v>0.119809419</v>
      </c>
      <c r="O32" s="2">
        <v>0.119725339</v>
      </c>
      <c r="P32" s="2">
        <v>0.11983044399999999</v>
      </c>
      <c r="Q32" s="2">
        <v>0.118922189</v>
      </c>
      <c r="R32" s="2">
        <v>0.11915460999999999</v>
      </c>
      <c r="S32" s="2">
        <v>0.11880932</v>
      </c>
      <c r="T32" s="2">
        <v>0.118787766</v>
      </c>
    </row>
    <row r="33" spans="1:20" x14ac:dyDescent="0.25">
      <c r="M33" s="2">
        <v>3.9128569999999996E-3</v>
      </c>
      <c r="N33" s="2">
        <v>3.9126639999999997E-3</v>
      </c>
      <c r="O33" s="2">
        <v>3.904958E-3</v>
      </c>
      <c r="P33" s="2">
        <v>3.9122949999999997E-3</v>
      </c>
      <c r="Q33" s="2">
        <v>3.9306089999999998E-3</v>
      </c>
      <c r="R33" s="2">
        <v>3.928562E-3</v>
      </c>
      <c r="S33" s="2">
        <v>3.9285850000000001E-3</v>
      </c>
      <c r="T33" s="2">
        <v>3.9185080000000002E-3</v>
      </c>
    </row>
    <row r="34" spans="1:20" x14ac:dyDescent="0.25">
      <c r="M34" s="2">
        <v>3.9474089999999998E-3</v>
      </c>
      <c r="N34" s="2">
        <v>3.9476900000000002E-3</v>
      </c>
      <c r="O34" s="2">
        <v>3.9372820000000003E-3</v>
      </c>
      <c r="P34" s="2">
        <v>3.9419240000000003E-3</v>
      </c>
      <c r="Q34" s="2">
        <v>3.9603099999999999E-3</v>
      </c>
      <c r="R34" s="2">
        <v>3.9488809999999996E-3</v>
      </c>
      <c r="S34" s="2">
        <v>3.973631E-3</v>
      </c>
      <c r="T34" s="2">
        <v>3.9411619999999998E-3</v>
      </c>
    </row>
    <row r="35" spans="1:20" x14ac:dyDescent="0.25">
      <c r="A35" s="4" t="s">
        <v>5</v>
      </c>
      <c r="B35" s="4"/>
      <c r="C35" s="4"/>
      <c r="D35" s="4"/>
      <c r="E35" s="4"/>
      <c r="F35" s="4"/>
      <c r="G35" s="4"/>
      <c r="H35" s="4"/>
      <c r="I35" s="4"/>
      <c r="M35" s="2">
        <v>4.040671E-3</v>
      </c>
      <c r="N35" s="2">
        <v>4.0304130000000001E-3</v>
      </c>
      <c r="O35" s="2">
        <v>4.0283029999999996E-3</v>
      </c>
      <c r="P35" s="2">
        <v>4.0264560000000003E-3</v>
      </c>
      <c r="Q35" s="2">
        <v>4.049642E-3</v>
      </c>
      <c r="R35" s="2">
        <v>4.0390920000000002E-3</v>
      </c>
      <c r="S35" s="2">
        <v>4.0461760000000003E-3</v>
      </c>
      <c r="T35" s="2">
        <v>4.0314959999999999E-3</v>
      </c>
    </row>
    <row r="36" spans="1:20" x14ac:dyDescent="0.25">
      <c r="A36" t="s">
        <v>1</v>
      </c>
      <c r="B36">
        <v>1</v>
      </c>
      <c r="C36">
        <v>2</v>
      </c>
      <c r="D36">
        <v>3</v>
      </c>
      <c r="E36">
        <v>4</v>
      </c>
      <c r="F36">
        <v>5</v>
      </c>
      <c r="G36">
        <v>6</v>
      </c>
      <c r="H36">
        <v>7</v>
      </c>
      <c r="I36">
        <v>8</v>
      </c>
      <c r="M36" s="2">
        <v>6.2885129999999999E-3</v>
      </c>
      <c r="N36" s="2">
        <v>6.2790789999999999E-3</v>
      </c>
      <c r="O36" s="2">
        <v>6.2732380000000004E-3</v>
      </c>
      <c r="P36" s="2">
        <v>6.2701190000000002E-3</v>
      </c>
      <c r="Q36" s="2">
        <v>6.2770730000000002E-3</v>
      </c>
      <c r="R36" s="2">
        <v>6.274913E-3</v>
      </c>
      <c r="S36" s="2">
        <v>6.2788870000000004E-3</v>
      </c>
      <c r="T36" s="2">
        <v>6.2646350000000002E-3</v>
      </c>
    </row>
    <row r="37" spans="1:20" x14ac:dyDescent="0.25">
      <c r="A37">
        <v>100</v>
      </c>
      <c r="B37" s="3">
        <f t="shared" ref="B37:I44" si="20">M17</f>
        <v>3.9166490000000003E-3</v>
      </c>
      <c r="C37" s="3">
        <f t="shared" si="20"/>
        <v>3.9104020000000003E-3</v>
      </c>
      <c r="D37" s="3">
        <f t="shared" si="20"/>
        <v>3.9143859999999997E-3</v>
      </c>
      <c r="E37" s="3">
        <f t="shared" si="20"/>
        <v>3.9194950000000003E-3</v>
      </c>
      <c r="F37" s="3">
        <f t="shared" si="20"/>
        <v>3.9321690000000001E-3</v>
      </c>
      <c r="G37" s="3">
        <f t="shared" si="20"/>
        <v>3.9248720000000003E-3</v>
      </c>
      <c r="H37" s="3">
        <f t="shared" si="20"/>
        <v>3.9415559999999997E-3</v>
      </c>
      <c r="I37" s="3">
        <f t="shared" si="20"/>
        <v>3.9111800000000002E-3</v>
      </c>
      <c r="M37" s="2">
        <v>1.0647482E-2</v>
      </c>
      <c r="N37" s="2">
        <v>1.0614411000000001E-2</v>
      </c>
      <c r="O37" s="2">
        <v>1.0611333000000001E-2</v>
      </c>
      <c r="P37" s="2">
        <v>1.0604970999999999E-2</v>
      </c>
      <c r="Q37" s="2">
        <v>1.0590007E-2</v>
      </c>
      <c r="R37" s="2">
        <v>1.0594312999999999E-2</v>
      </c>
      <c r="S37" s="2">
        <v>1.0588915000000001E-2</v>
      </c>
      <c r="T37" s="2">
        <v>1.059652E-2</v>
      </c>
    </row>
    <row r="38" spans="1:20" x14ac:dyDescent="0.25">
      <c r="A38">
        <v>500</v>
      </c>
      <c r="B38" s="3">
        <f t="shared" si="20"/>
        <v>3.9471619999999997E-3</v>
      </c>
      <c r="C38" s="3">
        <f t="shared" si="20"/>
        <v>3.9402730000000002E-3</v>
      </c>
      <c r="D38" s="3">
        <f t="shared" si="20"/>
        <v>3.9351949999999998E-3</v>
      </c>
      <c r="E38" s="3">
        <f t="shared" si="20"/>
        <v>3.9546729999999997E-3</v>
      </c>
      <c r="F38" s="3">
        <f t="shared" si="20"/>
        <v>3.9615900000000001E-3</v>
      </c>
      <c r="G38" s="3">
        <f t="shared" si="20"/>
        <v>3.9512640000000003E-3</v>
      </c>
      <c r="H38" s="3">
        <f t="shared" si="20"/>
        <v>3.9687000000000004E-3</v>
      </c>
      <c r="I38" s="3">
        <f t="shared" si="20"/>
        <v>3.9427339999999998E-3</v>
      </c>
      <c r="M38" s="2">
        <v>4.9700363999999997E-2</v>
      </c>
      <c r="N38" s="2">
        <v>4.9536187000000002E-2</v>
      </c>
      <c r="O38" s="2">
        <v>4.9539554999999999E-2</v>
      </c>
      <c r="P38" s="2">
        <v>4.9481048999999999E-2</v>
      </c>
      <c r="Q38" s="2">
        <v>4.9388084999999998E-2</v>
      </c>
      <c r="R38" s="2">
        <v>4.9406274999999999E-2</v>
      </c>
      <c r="S38" s="2">
        <v>4.9360744999999998E-2</v>
      </c>
      <c r="T38" s="2">
        <v>4.9463429000000003E-2</v>
      </c>
    </row>
    <row r="39" spans="1:20" x14ac:dyDescent="0.25">
      <c r="A39">
        <v>1000</v>
      </c>
      <c r="B39" s="3">
        <f t="shared" si="20"/>
        <v>4.0341880000000002E-3</v>
      </c>
      <c r="C39" s="3">
        <f t="shared" si="20"/>
        <v>4.0371959999999998E-3</v>
      </c>
      <c r="D39" s="3">
        <f t="shared" si="20"/>
        <v>4.032847E-3</v>
      </c>
      <c r="E39" s="3">
        <f t="shared" si="20"/>
        <v>4.0399980000000004E-3</v>
      </c>
      <c r="F39" s="3">
        <f t="shared" si="20"/>
        <v>4.0527669999999997E-3</v>
      </c>
      <c r="G39" s="3">
        <f t="shared" si="20"/>
        <v>4.0388430000000003E-3</v>
      </c>
      <c r="H39" s="3">
        <f t="shared" si="20"/>
        <v>4.0645079999999997E-3</v>
      </c>
      <c r="I39" s="3">
        <f t="shared" si="20"/>
        <v>4.0338090000000002E-3</v>
      </c>
      <c r="M39" s="2">
        <v>9.9144741999999994E-2</v>
      </c>
      <c r="N39" s="2">
        <v>9.8821633000000006E-2</v>
      </c>
      <c r="O39" s="2">
        <v>9.8830699999999994E-2</v>
      </c>
      <c r="P39" s="2">
        <v>9.8729774000000006E-2</v>
      </c>
      <c r="Q39" s="2">
        <v>9.8569974000000005E-2</v>
      </c>
      <c r="R39" s="2">
        <v>9.8574526999999995E-2</v>
      </c>
      <c r="S39" s="2">
        <v>9.8471284000000006E-2</v>
      </c>
      <c r="T39" s="2">
        <v>9.8698839999999996E-2</v>
      </c>
    </row>
    <row r="40" spans="1:20" x14ac:dyDescent="0.25">
      <c r="A40">
        <v>5000</v>
      </c>
      <c r="B40" s="3">
        <f t="shared" si="20"/>
        <v>6.2912189999999998E-3</v>
      </c>
      <c r="C40" s="3">
        <f t="shared" si="20"/>
        <v>6.2822340000000003E-3</v>
      </c>
      <c r="D40" s="3">
        <f t="shared" si="20"/>
        <v>6.2795100000000003E-3</v>
      </c>
      <c r="E40" s="3">
        <f t="shared" si="20"/>
        <v>6.2750540000000004E-3</v>
      </c>
      <c r="F40" s="3">
        <f t="shared" si="20"/>
        <v>6.2730920000000001E-3</v>
      </c>
      <c r="G40" s="3">
        <f t="shared" si="20"/>
        <v>6.2819850000000003E-3</v>
      </c>
      <c r="H40" s="3">
        <f t="shared" si="20"/>
        <v>6.2835590000000002E-3</v>
      </c>
      <c r="I40" s="3">
        <f t="shared" si="20"/>
        <v>6.2665680000000001E-3</v>
      </c>
      <c r="M40" s="2">
        <v>0.13851466800000001</v>
      </c>
      <c r="N40" s="2">
        <v>0.138055339</v>
      </c>
      <c r="O40" s="2">
        <v>0.13809359099999999</v>
      </c>
      <c r="P40" s="2">
        <v>0.13795059900000001</v>
      </c>
      <c r="Q40" s="2">
        <v>0.13772943600000001</v>
      </c>
      <c r="R40" s="2">
        <v>0.13773118000000001</v>
      </c>
      <c r="S40" s="2">
        <v>0.13756611899999999</v>
      </c>
      <c r="T40" s="2">
        <v>0.137911916</v>
      </c>
    </row>
    <row r="41" spans="1:20" x14ac:dyDescent="0.25">
      <c r="A41">
        <v>10000</v>
      </c>
      <c r="B41" s="3">
        <f t="shared" si="20"/>
        <v>1.0646533E-2</v>
      </c>
      <c r="C41" s="3">
        <f t="shared" si="20"/>
        <v>1.0619529000000001E-2</v>
      </c>
      <c r="D41" s="3">
        <f t="shared" si="20"/>
        <v>1.0611109000000001E-2</v>
      </c>
      <c r="E41" s="3">
        <f t="shared" si="20"/>
        <v>1.0606947E-2</v>
      </c>
      <c r="F41" s="3">
        <f t="shared" si="20"/>
        <v>1.0594385E-2</v>
      </c>
      <c r="G41" s="3">
        <f t="shared" si="20"/>
        <v>1.0597548E-2</v>
      </c>
      <c r="H41" s="3">
        <f t="shared" si="20"/>
        <v>1.0590921E-2</v>
      </c>
      <c r="I41" s="3">
        <f t="shared" si="20"/>
        <v>1.0605765E-2</v>
      </c>
      <c r="M41" s="2">
        <v>2.9096021899999998E-4</v>
      </c>
      <c r="N41" s="2">
        <v>2.8977263699999999E-4</v>
      </c>
      <c r="O41" s="2">
        <v>2.8966489500000003E-4</v>
      </c>
      <c r="P41" s="2">
        <v>2.86337396E-4</v>
      </c>
      <c r="Q41" s="2">
        <v>2.8962435299999999E-4</v>
      </c>
      <c r="R41" s="2">
        <v>2.9005043299999998E-4</v>
      </c>
      <c r="S41" s="2">
        <v>2.9210216600000002E-4</v>
      </c>
      <c r="T41" s="2">
        <v>2.87837349E-4</v>
      </c>
    </row>
    <row r="42" spans="1:20" x14ac:dyDescent="0.25">
      <c r="A42">
        <v>50000</v>
      </c>
      <c r="B42" s="3">
        <f t="shared" si="20"/>
        <v>4.9701333E-2</v>
      </c>
      <c r="C42" s="3">
        <f t="shared" si="20"/>
        <v>4.9534417999999997E-2</v>
      </c>
      <c r="D42" s="3">
        <f t="shared" si="20"/>
        <v>4.9537495000000001E-2</v>
      </c>
      <c r="E42" s="3">
        <f t="shared" si="20"/>
        <v>4.9478347999999998E-2</v>
      </c>
      <c r="F42" s="3">
        <f t="shared" si="20"/>
        <v>4.9389298999999998E-2</v>
      </c>
      <c r="G42" s="3">
        <f t="shared" si="20"/>
        <v>4.9408246000000003E-2</v>
      </c>
      <c r="H42" s="3">
        <f t="shared" si="20"/>
        <v>4.9362540000000003E-2</v>
      </c>
      <c r="I42" s="3">
        <f t="shared" si="20"/>
        <v>4.9463767999999998E-2</v>
      </c>
      <c r="M42" s="2">
        <v>2.1905050000000001E-3</v>
      </c>
      <c r="N42" s="2">
        <v>2.1796379999999998E-3</v>
      </c>
      <c r="O42" s="2">
        <v>2.1734150000000002E-3</v>
      </c>
      <c r="P42" s="2">
        <v>2.1653110000000001E-3</v>
      </c>
      <c r="Q42" s="2">
        <v>2.1695109999999998E-3</v>
      </c>
      <c r="R42" s="2">
        <v>2.178714E-3</v>
      </c>
      <c r="S42" s="2">
        <v>2.1735610000000001E-3</v>
      </c>
      <c r="T42" s="2">
        <v>2.1780049999999998E-3</v>
      </c>
    </row>
    <row r="43" spans="1:20" x14ac:dyDescent="0.25">
      <c r="A43">
        <v>100000</v>
      </c>
      <c r="B43" s="3">
        <f t="shared" si="20"/>
        <v>9.9142589000000003E-2</v>
      </c>
      <c r="C43" s="3">
        <f t="shared" si="20"/>
        <v>9.8816699999999993E-2</v>
      </c>
      <c r="D43" s="3">
        <f t="shared" si="20"/>
        <v>9.8835840999999994E-2</v>
      </c>
      <c r="E43" s="3">
        <f t="shared" si="20"/>
        <v>9.8728239999999995E-2</v>
      </c>
      <c r="F43" s="3">
        <f t="shared" si="20"/>
        <v>9.8563238999999997E-2</v>
      </c>
      <c r="G43" s="3">
        <f t="shared" si="20"/>
        <v>9.858422E-2</v>
      </c>
      <c r="H43" s="3">
        <f t="shared" si="20"/>
        <v>9.8468407999999993E-2</v>
      </c>
      <c r="I43" s="3">
        <f t="shared" si="20"/>
        <v>9.8697871000000006E-2</v>
      </c>
      <c r="M43" s="2">
        <v>4.7741249999999997E-3</v>
      </c>
      <c r="N43" s="2">
        <v>4.7626609999999996E-3</v>
      </c>
      <c r="O43" s="2">
        <v>4.7612740000000002E-3</v>
      </c>
      <c r="P43" s="2">
        <v>4.7537070000000002E-3</v>
      </c>
      <c r="Q43" s="2">
        <v>4.7486020000000002E-3</v>
      </c>
      <c r="R43" s="2">
        <v>4.7548069999999998E-3</v>
      </c>
      <c r="S43" s="2">
        <v>4.7468780000000004E-3</v>
      </c>
      <c r="T43" s="2">
        <v>4.7431249999999999E-3</v>
      </c>
    </row>
    <row r="44" spans="1:20" x14ac:dyDescent="0.25">
      <c r="A44">
        <v>140000</v>
      </c>
      <c r="B44" s="3">
        <f t="shared" si="20"/>
        <v>0.13850262799999999</v>
      </c>
      <c r="C44" s="3">
        <f t="shared" si="20"/>
        <v>0.13804988600000001</v>
      </c>
      <c r="D44" s="3">
        <f t="shared" si="20"/>
        <v>0.13808237000000001</v>
      </c>
      <c r="E44" s="3">
        <f t="shared" si="20"/>
        <v>0.13795743899999999</v>
      </c>
      <c r="F44" s="3">
        <f t="shared" si="20"/>
        <v>0.137740642</v>
      </c>
      <c r="G44" s="3">
        <f t="shared" si="20"/>
        <v>0.13773263999999999</v>
      </c>
      <c r="H44" s="3">
        <f t="shared" si="20"/>
        <v>0.137572795</v>
      </c>
      <c r="I44" s="3">
        <f t="shared" si="20"/>
        <v>0.13791382299999999</v>
      </c>
      <c r="M44" s="2">
        <v>2.4980081000000001E-2</v>
      </c>
      <c r="N44" s="2">
        <v>2.4925327000000001E-2</v>
      </c>
      <c r="O44" s="2">
        <v>2.4910735E-2</v>
      </c>
      <c r="P44" s="2">
        <v>2.4873092999999999E-2</v>
      </c>
      <c r="Q44" s="2">
        <v>2.4854390000000001E-2</v>
      </c>
      <c r="R44" s="2">
        <v>2.4875825000000001E-2</v>
      </c>
      <c r="S44" s="2">
        <v>2.4850563999999999E-2</v>
      </c>
      <c r="T44" s="2">
        <v>2.4804242000000001E-2</v>
      </c>
    </row>
    <row r="45" spans="1:20" x14ac:dyDescent="0.25">
      <c r="M45" s="2">
        <v>5.0163671E-2</v>
      </c>
      <c r="N45" s="2">
        <v>5.0066851000000002E-2</v>
      </c>
      <c r="O45" s="2">
        <v>5.006646E-2</v>
      </c>
      <c r="P45" s="2">
        <v>4.9979422000000003E-2</v>
      </c>
      <c r="Q45" s="2">
        <v>4.9931603999999997E-2</v>
      </c>
      <c r="R45" s="2">
        <v>4.9965247999999997E-2</v>
      </c>
      <c r="S45" s="2">
        <v>4.9923482999999998E-2</v>
      </c>
      <c r="T45" s="2">
        <v>4.9807734999999999E-2</v>
      </c>
    </row>
    <row r="46" spans="1:20" x14ac:dyDescent="0.25">
      <c r="A46" s="4" t="s">
        <v>6</v>
      </c>
      <c r="B46" s="4"/>
      <c r="C46" s="4"/>
      <c r="D46" s="4"/>
      <c r="E46" s="4"/>
      <c r="F46" s="4"/>
      <c r="G46" s="4"/>
      <c r="H46" s="4"/>
      <c r="I46" s="4"/>
      <c r="M46" s="2">
        <v>0.25123831600000002</v>
      </c>
      <c r="N46" s="2">
        <v>0.25082555400000001</v>
      </c>
      <c r="O46" s="2">
        <v>0.25072208000000001</v>
      </c>
      <c r="P46" s="2">
        <v>0.25041711300000002</v>
      </c>
      <c r="Q46" s="2">
        <v>0.249915212</v>
      </c>
      <c r="R46" s="2">
        <v>0.25001656999999999</v>
      </c>
      <c r="S46" s="2">
        <v>0.249885723</v>
      </c>
      <c r="T46" s="2">
        <v>0.249313965</v>
      </c>
    </row>
    <row r="47" spans="1:20" x14ac:dyDescent="0.25">
      <c r="A47" t="s">
        <v>1</v>
      </c>
      <c r="B47">
        <v>1</v>
      </c>
      <c r="C47">
        <v>2</v>
      </c>
      <c r="D47">
        <v>3</v>
      </c>
      <c r="E47">
        <v>4</v>
      </c>
      <c r="F47">
        <v>5</v>
      </c>
      <c r="G47">
        <v>6</v>
      </c>
      <c r="H47">
        <v>7</v>
      </c>
      <c r="I47">
        <v>8</v>
      </c>
      <c r="M47" s="2">
        <v>0.50191754099999997</v>
      </c>
      <c r="N47" s="2">
        <v>0.50133872000000002</v>
      </c>
      <c r="O47" s="2">
        <v>0.500918329</v>
      </c>
      <c r="P47" s="2">
        <v>0.50038075400000004</v>
      </c>
      <c r="Q47" s="2">
        <v>0.498855561</v>
      </c>
      <c r="R47" s="2">
        <v>0.499563068</v>
      </c>
      <c r="S47" s="2">
        <v>0.49944311400000002</v>
      </c>
      <c r="T47" s="2">
        <v>0.49808752499999998</v>
      </c>
    </row>
    <row r="48" spans="1:20" x14ac:dyDescent="0.25">
      <c r="A48">
        <v>100</v>
      </c>
      <c r="B48" s="3">
        <f>M25*1000000</f>
        <v>106.36851899999999</v>
      </c>
      <c r="C48" s="3">
        <f t="shared" ref="C48:I48" si="21">N25*1000000</f>
        <v>105.21159899999999</v>
      </c>
      <c r="D48" s="3">
        <f t="shared" si="21"/>
        <v>105.11141599999999</v>
      </c>
      <c r="E48" s="3">
        <f t="shared" si="21"/>
        <v>104.01157499999999</v>
      </c>
      <c r="F48" s="3">
        <f t="shared" si="21"/>
        <v>103.437167</v>
      </c>
      <c r="G48" s="3">
        <f t="shared" si="21"/>
        <v>105.59163600000001</v>
      </c>
      <c r="H48" s="3">
        <f t="shared" si="21"/>
        <v>104.22987499999999</v>
      </c>
      <c r="I48" s="3">
        <f t="shared" si="21"/>
        <v>105.23851999999999</v>
      </c>
      <c r="M48" s="2">
        <v>0.702413917</v>
      </c>
      <c r="N48" s="2">
        <v>0.70145505699999999</v>
      </c>
      <c r="O48" s="2">
        <v>0.70050769999999996</v>
      </c>
      <c r="P48" s="2">
        <v>0.69999122599999997</v>
      </c>
      <c r="Q48" s="2">
        <v>0.69792115700000001</v>
      </c>
      <c r="R48" s="2">
        <v>0.69876289400000002</v>
      </c>
      <c r="S48" s="2">
        <v>0.698903143</v>
      </c>
      <c r="T48" s="2">
        <v>0.69655287300000002</v>
      </c>
    </row>
    <row r="49" spans="1:9" x14ac:dyDescent="0.25">
      <c r="A49">
        <v>500</v>
      </c>
      <c r="B49" s="3">
        <f t="shared" ref="B49:B55" si="22">M26*1000000</f>
        <v>472.38264200000003</v>
      </c>
      <c r="C49" s="3">
        <f t="shared" ref="C49:C55" si="23">N26*1000000</f>
        <v>465.229648</v>
      </c>
      <c r="D49" s="3">
        <f t="shared" ref="D49:D55" si="24">O26*1000000</f>
        <v>462.853117</v>
      </c>
      <c r="E49" s="3">
        <f t="shared" ref="E49:E55" si="25">P26*1000000</f>
        <v>460.215058</v>
      </c>
      <c r="F49" s="3">
        <f t="shared" ref="F49:F55" si="26">Q26*1000000</f>
        <v>463.94183299999997</v>
      </c>
      <c r="G49" s="3">
        <f t="shared" ref="G49:G55" si="27">R26*1000000</f>
        <v>470.32433200000003</v>
      </c>
      <c r="H49" s="3">
        <f t="shared" ref="H49:H55" si="28">S26*1000000</f>
        <v>465.36611600000003</v>
      </c>
      <c r="I49" s="3">
        <f t="shared" ref="I49:I55" si="29">T26*1000000</f>
        <v>473.09571499999998</v>
      </c>
    </row>
    <row r="50" spans="1:9" x14ac:dyDescent="0.25">
      <c r="A50">
        <v>1000</v>
      </c>
      <c r="B50" s="3">
        <f t="shared" si="22"/>
        <v>980.82004099999995</v>
      </c>
      <c r="C50" s="3">
        <f t="shared" si="23"/>
        <v>975.378964</v>
      </c>
      <c r="D50" s="3">
        <f t="shared" si="24"/>
        <v>977.28706899999997</v>
      </c>
      <c r="E50" s="3">
        <f t="shared" si="25"/>
        <v>971.93784299999993</v>
      </c>
      <c r="F50" s="3">
        <f t="shared" si="26"/>
        <v>976.10440600000004</v>
      </c>
      <c r="G50" s="3">
        <f t="shared" si="27"/>
        <v>979.18906200000004</v>
      </c>
      <c r="H50" s="3">
        <f t="shared" si="28"/>
        <v>976.93956899999989</v>
      </c>
      <c r="I50" s="3">
        <f t="shared" si="29"/>
        <v>976.11494099999993</v>
      </c>
    </row>
    <row r="51" spans="1:9" x14ac:dyDescent="0.25">
      <c r="A51">
        <v>5000</v>
      </c>
      <c r="B51" s="3">
        <f t="shared" si="22"/>
        <v>5011.1219999999994</v>
      </c>
      <c r="C51" s="3">
        <f t="shared" si="23"/>
        <v>4982.4090000000006</v>
      </c>
      <c r="D51" s="3">
        <f t="shared" si="24"/>
        <v>4982.0519999999997</v>
      </c>
      <c r="E51" s="3">
        <f t="shared" si="25"/>
        <v>4967.1040000000003</v>
      </c>
      <c r="F51" s="3">
        <f t="shared" si="26"/>
        <v>4981.8789999999999</v>
      </c>
      <c r="G51" s="3">
        <f t="shared" si="27"/>
        <v>4995.9430000000002</v>
      </c>
      <c r="H51" s="3">
        <f t="shared" si="28"/>
        <v>4983.1169999999993</v>
      </c>
      <c r="I51" s="3">
        <f t="shared" si="29"/>
        <v>4983.1140000000005</v>
      </c>
    </row>
    <row r="52" spans="1:9" x14ac:dyDescent="0.25">
      <c r="A52">
        <v>10000</v>
      </c>
      <c r="B52" s="3">
        <f t="shared" si="22"/>
        <v>10042.719000000001</v>
      </c>
      <c r="C52" s="3">
        <f t="shared" si="23"/>
        <v>9989.3719999999994</v>
      </c>
      <c r="D52" s="3">
        <f t="shared" si="24"/>
        <v>9986.7819999999992</v>
      </c>
      <c r="E52" s="3">
        <f t="shared" si="25"/>
        <v>9960.59</v>
      </c>
      <c r="F52" s="3">
        <f t="shared" si="26"/>
        <v>9981.5430000000015</v>
      </c>
      <c r="G52" s="3">
        <f t="shared" si="27"/>
        <v>10012.589</v>
      </c>
      <c r="H52" s="3">
        <f t="shared" si="28"/>
        <v>9990.6239999999998</v>
      </c>
      <c r="I52" s="3">
        <f t="shared" si="29"/>
        <v>9985.994999999999</v>
      </c>
    </row>
    <row r="53" spans="1:9" x14ac:dyDescent="0.25">
      <c r="A53">
        <v>50000</v>
      </c>
      <c r="B53" s="3">
        <f t="shared" si="22"/>
        <v>50255.958000000006</v>
      </c>
      <c r="C53" s="3">
        <f t="shared" si="23"/>
        <v>50076.913</v>
      </c>
      <c r="D53" s="3">
        <f t="shared" si="24"/>
        <v>50037.383999999998</v>
      </c>
      <c r="E53" s="3">
        <f t="shared" si="25"/>
        <v>49928.940999999999</v>
      </c>
      <c r="F53" s="3">
        <f t="shared" si="26"/>
        <v>49985.464999999997</v>
      </c>
      <c r="G53" s="3">
        <f t="shared" si="27"/>
        <v>50098.955999999998</v>
      </c>
      <c r="H53" s="3">
        <f t="shared" si="28"/>
        <v>50032.832000000002</v>
      </c>
      <c r="I53" s="3">
        <f t="shared" si="29"/>
        <v>49933.924999999996</v>
      </c>
    </row>
    <row r="54" spans="1:9" x14ac:dyDescent="0.25">
      <c r="A54">
        <v>100000</v>
      </c>
      <c r="B54" s="3">
        <f t="shared" si="22"/>
        <v>100332.04399999999</v>
      </c>
      <c r="C54" s="3">
        <f t="shared" si="23"/>
        <v>100027.24799999999</v>
      </c>
      <c r="D54" s="3">
        <f t="shared" si="24"/>
        <v>99913.925000000003</v>
      </c>
      <c r="E54" s="3">
        <f t="shared" si="25"/>
        <v>99689.253000000012</v>
      </c>
      <c r="F54" s="3">
        <f t="shared" si="26"/>
        <v>99748.983999999997</v>
      </c>
      <c r="G54" s="3">
        <f t="shared" si="27"/>
        <v>99981.278000000006</v>
      </c>
      <c r="H54" s="3">
        <f t="shared" si="28"/>
        <v>99913.709000000003</v>
      </c>
      <c r="I54" s="3">
        <f t="shared" si="29"/>
        <v>99662.49</v>
      </c>
    </row>
    <row r="55" spans="1:9" x14ac:dyDescent="0.25">
      <c r="A55">
        <v>140000</v>
      </c>
      <c r="B55" s="3">
        <f t="shared" si="22"/>
        <v>120294.16099999999</v>
      </c>
      <c r="C55" s="3">
        <f t="shared" si="23"/>
        <v>119809.41899999999</v>
      </c>
      <c r="D55" s="3">
        <f t="shared" si="24"/>
        <v>119725.33900000001</v>
      </c>
      <c r="E55" s="3">
        <f t="shared" si="25"/>
        <v>119830.44399999999</v>
      </c>
      <c r="F55" s="3">
        <f t="shared" si="26"/>
        <v>118922.189</v>
      </c>
      <c r="G55" s="3">
        <f t="shared" si="27"/>
        <v>119154.61</v>
      </c>
      <c r="H55" s="3">
        <f t="shared" si="28"/>
        <v>118809.31999999999</v>
      </c>
      <c r="I55" s="3">
        <f t="shared" si="29"/>
        <v>118787.766</v>
      </c>
    </row>
    <row r="57" spans="1:9" x14ac:dyDescent="0.25">
      <c r="A57" s="5" t="s">
        <v>7</v>
      </c>
      <c r="B57" s="5"/>
      <c r="C57" s="5"/>
      <c r="D57" s="5"/>
      <c r="E57" s="5"/>
      <c r="F57" s="5"/>
      <c r="G57" s="5"/>
      <c r="H57" s="5"/>
      <c r="I57" s="5"/>
    </row>
    <row r="58" spans="1:9" x14ac:dyDescent="0.25">
      <c r="A58" t="s">
        <v>0</v>
      </c>
      <c r="B58">
        <v>1</v>
      </c>
      <c r="C58">
        <v>2</v>
      </c>
      <c r="D58">
        <v>3</v>
      </c>
      <c r="E58">
        <v>4</v>
      </c>
      <c r="F58">
        <v>5</v>
      </c>
      <c r="G58">
        <v>6</v>
      </c>
      <c r="H58">
        <v>7</v>
      </c>
      <c r="I58">
        <v>8</v>
      </c>
    </row>
    <row r="59" spans="1:9" x14ac:dyDescent="0.25">
      <c r="A59">
        <v>100</v>
      </c>
      <c r="B59" s="1">
        <f>B48-B37</f>
        <v>106.36460235099999</v>
      </c>
      <c r="C59" s="1">
        <f t="shared" ref="C59:I59" si="30">C48-C37</f>
        <v>105.20768859799999</v>
      </c>
      <c r="D59" s="1">
        <f t="shared" si="30"/>
        <v>105.10750161399999</v>
      </c>
      <c r="E59" s="1">
        <f t="shared" si="30"/>
        <v>104.00765550499999</v>
      </c>
      <c r="F59" s="1">
        <f t="shared" si="30"/>
        <v>103.43323483100001</v>
      </c>
      <c r="G59" s="1">
        <f t="shared" si="30"/>
        <v>105.58771112800001</v>
      </c>
      <c r="H59" s="1">
        <f t="shared" si="30"/>
        <v>104.22593344399999</v>
      </c>
      <c r="I59" s="1">
        <f t="shared" si="30"/>
        <v>105.23460881999999</v>
      </c>
    </row>
    <row r="60" spans="1:9" x14ac:dyDescent="0.25">
      <c r="A60">
        <v>500</v>
      </c>
      <c r="B60" s="1">
        <f t="shared" ref="B60:I60" si="31">B49-B38</f>
        <v>472.37869483800006</v>
      </c>
      <c r="C60" s="1">
        <f t="shared" si="31"/>
        <v>465.22570772699999</v>
      </c>
      <c r="D60" s="1">
        <f t="shared" si="31"/>
        <v>462.849181805</v>
      </c>
      <c r="E60" s="1">
        <f t="shared" si="31"/>
        <v>460.21110332699999</v>
      </c>
      <c r="F60" s="1">
        <f t="shared" si="31"/>
        <v>463.93787140999996</v>
      </c>
      <c r="G60" s="1">
        <f t="shared" si="31"/>
        <v>470.320380736</v>
      </c>
      <c r="H60" s="1">
        <f t="shared" si="31"/>
        <v>465.36214730000006</v>
      </c>
      <c r="I60" s="1">
        <f t="shared" si="31"/>
        <v>473.09177226599996</v>
      </c>
    </row>
    <row r="61" spans="1:9" x14ac:dyDescent="0.25">
      <c r="A61">
        <v>1000</v>
      </c>
      <c r="B61" s="1">
        <f t="shared" ref="B61:I61" si="32">B50-B39</f>
        <v>980.81600681199996</v>
      </c>
      <c r="C61" s="1">
        <f t="shared" si="32"/>
        <v>975.37492680399998</v>
      </c>
      <c r="D61" s="1">
        <f t="shared" si="32"/>
        <v>977.28303615300001</v>
      </c>
      <c r="E61" s="1">
        <f t="shared" si="32"/>
        <v>971.93380300199988</v>
      </c>
      <c r="F61" s="1">
        <f t="shared" si="32"/>
        <v>976.10035323300008</v>
      </c>
      <c r="G61" s="1">
        <f t="shared" si="32"/>
        <v>979.18502315700005</v>
      </c>
      <c r="H61" s="1">
        <f t="shared" si="32"/>
        <v>976.93550449199984</v>
      </c>
      <c r="I61" s="1">
        <f t="shared" si="32"/>
        <v>976.11090719099991</v>
      </c>
    </row>
    <row r="62" spans="1:9" x14ac:dyDescent="0.25">
      <c r="A62">
        <v>5000</v>
      </c>
      <c r="B62" s="1">
        <f t="shared" ref="B62:I62" si="33">B51-B40</f>
        <v>5011.1157087809997</v>
      </c>
      <c r="C62" s="1">
        <f t="shared" si="33"/>
        <v>4982.4027177660009</v>
      </c>
      <c r="D62" s="1">
        <f t="shared" si="33"/>
        <v>4982.0457204899994</v>
      </c>
      <c r="E62" s="1">
        <f t="shared" si="33"/>
        <v>4967.0977249460002</v>
      </c>
      <c r="F62" s="1">
        <f t="shared" si="33"/>
        <v>4981.872726908</v>
      </c>
      <c r="G62" s="1">
        <f t="shared" si="33"/>
        <v>4995.9367180150002</v>
      </c>
      <c r="H62" s="1">
        <f t="shared" si="33"/>
        <v>4983.1107164409996</v>
      </c>
      <c r="I62" s="1">
        <f t="shared" si="33"/>
        <v>4983.1077334320007</v>
      </c>
    </row>
    <row r="63" spans="1:9" x14ac:dyDescent="0.25">
      <c r="A63">
        <v>10000</v>
      </c>
      <c r="B63" s="1">
        <f t="shared" ref="B63:I63" si="34">B52-B41</f>
        <v>10042.708353467</v>
      </c>
      <c r="C63" s="1">
        <f t="shared" si="34"/>
        <v>9989.3613804709985</v>
      </c>
      <c r="D63" s="1">
        <f t="shared" si="34"/>
        <v>9986.7713888909984</v>
      </c>
      <c r="E63" s="1">
        <f t="shared" si="34"/>
        <v>9960.5793930529999</v>
      </c>
      <c r="F63" s="1">
        <f t="shared" si="34"/>
        <v>9981.5324056150021</v>
      </c>
      <c r="G63" s="1">
        <f t="shared" si="34"/>
        <v>10012.578402452</v>
      </c>
      <c r="H63" s="1">
        <f t="shared" si="34"/>
        <v>9990.6134090790001</v>
      </c>
      <c r="I63" s="1">
        <f t="shared" si="34"/>
        <v>9985.9843942349999</v>
      </c>
    </row>
    <row r="64" spans="1:9" x14ac:dyDescent="0.25">
      <c r="A64">
        <v>50000</v>
      </c>
      <c r="B64" s="1">
        <f t="shared" ref="B64:I64" si="35">B53-B42</f>
        <v>50255.908298667004</v>
      </c>
      <c r="C64" s="1">
        <f t="shared" si="35"/>
        <v>50076.863465581999</v>
      </c>
      <c r="D64" s="1">
        <f t="shared" si="35"/>
        <v>50037.334462505001</v>
      </c>
      <c r="E64" s="1">
        <f t="shared" si="35"/>
        <v>49928.891521651996</v>
      </c>
      <c r="F64" s="1">
        <f t="shared" si="35"/>
        <v>49985.415610700999</v>
      </c>
      <c r="G64" s="1">
        <f t="shared" si="35"/>
        <v>50098.906591753999</v>
      </c>
      <c r="H64" s="1">
        <f t="shared" si="35"/>
        <v>50032.782637460004</v>
      </c>
      <c r="I64" s="1">
        <f t="shared" si="35"/>
        <v>49933.875536231993</v>
      </c>
    </row>
    <row r="65" spans="1:9" x14ac:dyDescent="0.25">
      <c r="A65">
        <v>100000</v>
      </c>
      <c r="B65" s="1">
        <f t="shared" ref="B65:I65" si="36">B54-B43</f>
        <v>100331.944857411</v>
      </c>
      <c r="C65" s="1">
        <f t="shared" si="36"/>
        <v>100027.14918329999</v>
      </c>
      <c r="D65" s="1">
        <f t="shared" si="36"/>
        <v>99913.826164159007</v>
      </c>
      <c r="E65" s="1">
        <f t="shared" si="36"/>
        <v>99689.15427176001</v>
      </c>
      <c r="F65" s="1">
        <f t="shared" si="36"/>
        <v>99748.885436761004</v>
      </c>
      <c r="G65" s="1">
        <f t="shared" si="36"/>
        <v>99981.179415780003</v>
      </c>
      <c r="H65" s="1">
        <f t="shared" si="36"/>
        <v>99913.610531591999</v>
      </c>
      <c r="I65" s="1">
        <f t="shared" si="36"/>
        <v>99662.391302129006</v>
      </c>
    </row>
    <row r="66" spans="1:9" x14ac:dyDescent="0.25">
      <c r="A66">
        <v>140000</v>
      </c>
      <c r="B66" s="1">
        <f t="shared" ref="B66:I66" si="37">B55-B44</f>
        <v>120294.02249737199</v>
      </c>
      <c r="C66" s="1">
        <f t="shared" si="37"/>
        <v>119809.280950114</v>
      </c>
      <c r="D66" s="1">
        <f t="shared" si="37"/>
        <v>119725.20091763001</v>
      </c>
      <c r="E66" s="1">
        <f t="shared" si="37"/>
        <v>119830.30604256099</v>
      </c>
      <c r="F66" s="1">
        <f t="shared" si="37"/>
        <v>118922.05125935799</v>
      </c>
      <c r="G66" s="1">
        <f t="shared" si="37"/>
        <v>119154.47226736</v>
      </c>
      <c r="H66" s="1">
        <f t="shared" si="37"/>
        <v>118809.18242720499</v>
      </c>
      <c r="I66" s="1">
        <f t="shared" si="37"/>
        <v>118787.62808617701</v>
      </c>
    </row>
    <row r="68" spans="1:9" x14ac:dyDescent="0.25">
      <c r="A68" s="4" t="s">
        <v>8</v>
      </c>
      <c r="B68" s="4"/>
      <c r="C68" s="4"/>
      <c r="D68" s="4"/>
      <c r="E68" s="4"/>
      <c r="F68" s="4"/>
      <c r="G68" s="4"/>
      <c r="H68" s="4"/>
      <c r="I68" s="4"/>
    </row>
    <row r="69" spans="1:9" x14ac:dyDescent="0.25">
      <c r="A69" t="s">
        <v>1</v>
      </c>
      <c r="B69">
        <v>1</v>
      </c>
      <c r="C69">
        <v>2</v>
      </c>
      <c r="D69">
        <v>3</v>
      </c>
      <c r="E69">
        <v>4</v>
      </c>
      <c r="F69">
        <v>5</v>
      </c>
      <c r="G69">
        <v>6</v>
      </c>
      <c r="H69">
        <v>7</v>
      </c>
      <c r="I69">
        <v>8</v>
      </c>
    </row>
    <row r="70" spans="1:9" x14ac:dyDescent="0.25">
      <c r="A70">
        <v>100</v>
      </c>
      <c r="B70" s="3">
        <f>M33</f>
        <v>3.9128569999999996E-3</v>
      </c>
      <c r="C70" s="3">
        <f t="shared" ref="C70:I70" si="38">N33</f>
        <v>3.9126639999999997E-3</v>
      </c>
      <c r="D70" s="3">
        <f t="shared" si="38"/>
        <v>3.904958E-3</v>
      </c>
      <c r="E70" s="3">
        <f t="shared" si="38"/>
        <v>3.9122949999999997E-3</v>
      </c>
      <c r="F70" s="3">
        <f t="shared" si="38"/>
        <v>3.9306089999999998E-3</v>
      </c>
      <c r="G70" s="3">
        <f t="shared" si="38"/>
        <v>3.928562E-3</v>
      </c>
      <c r="H70" s="3">
        <f t="shared" si="38"/>
        <v>3.9285850000000001E-3</v>
      </c>
      <c r="I70" s="3">
        <f t="shared" si="38"/>
        <v>3.9185080000000002E-3</v>
      </c>
    </row>
    <row r="71" spans="1:9" x14ac:dyDescent="0.25">
      <c r="A71">
        <v>500</v>
      </c>
      <c r="B71" s="3">
        <f t="shared" ref="B71:B77" si="39">M34</f>
        <v>3.9474089999999998E-3</v>
      </c>
      <c r="C71" s="3">
        <f t="shared" ref="C71:C77" si="40">N34</f>
        <v>3.9476900000000002E-3</v>
      </c>
      <c r="D71" s="3">
        <f t="shared" ref="D71:D77" si="41">O34</f>
        <v>3.9372820000000003E-3</v>
      </c>
      <c r="E71" s="3">
        <f t="shared" ref="E71:E77" si="42">P34</f>
        <v>3.9419240000000003E-3</v>
      </c>
      <c r="F71" s="3">
        <f t="shared" ref="F71:F77" si="43">Q34</f>
        <v>3.9603099999999999E-3</v>
      </c>
      <c r="G71" s="3">
        <f t="shared" ref="G71:G77" si="44">R34</f>
        <v>3.9488809999999996E-3</v>
      </c>
      <c r="H71" s="3">
        <f t="shared" ref="H71:H77" si="45">S34</f>
        <v>3.973631E-3</v>
      </c>
      <c r="I71" s="3">
        <f t="shared" ref="I71:I77" si="46">T34</f>
        <v>3.9411619999999998E-3</v>
      </c>
    </row>
    <row r="72" spans="1:9" x14ac:dyDescent="0.25">
      <c r="A72">
        <v>1000</v>
      </c>
      <c r="B72" s="3">
        <f t="shared" si="39"/>
        <v>4.040671E-3</v>
      </c>
      <c r="C72" s="3">
        <f t="shared" si="40"/>
        <v>4.0304130000000001E-3</v>
      </c>
      <c r="D72" s="3">
        <f t="shared" si="41"/>
        <v>4.0283029999999996E-3</v>
      </c>
      <c r="E72" s="3">
        <f t="shared" si="42"/>
        <v>4.0264560000000003E-3</v>
      </c>
      <c r="F72" s="3">
        <f t="shared" si="43"/>
        <v>4.049642E-3</v>
      </c>
      <c r="G72" s="3">
        <f t="shared" si="44"/>
        <v>4.0390920000000002E-3</v>
      </c>
      <c r="H72" s="3">
        <f t="shared" si="45"/>
        <v>4.0461760000000003E-3</v>
      </c>
      <c r="I72" s="3">
        <f t="shared" si="46"/>
        <v>4.0314959999999999E-3</v>
      </c>
    </row>
    <row r="73" spans="1:9" x14ac:dyDescent="0.25">
      <c r="A73">
        <v>5000</v>
      </c>
      <c r="B73" s="3">
        <f t="shared" si="39"/>
        <v>6.2885129999999999E-3</v>
      </c>
      <c r="C73" s="3">
        <f t="shared" si="40"/>
        <v>6.2790789999999999E-3</v>
      </c>
      <c r="D73" s="3">
        <f t="shared" si="41"/>
        <v>6.2732380000000004E-3</v>
      </c>
      <c r="E73" s="3">
        <f t="shared" si="42"/>
        <v>6.2701190000000002E-3</v>
      </c>
      <c r="F73" s="3">
        <f t="shared" si="43"/>
        <v>6.2770730000000002E-3</v>
      </c>
      <c r="G73" s="3">
        <f t="shared" si="44"/>
        <v>6.274913E-3</v>
      </c>
      <c r="H73" s="3">
        <f t="shared" si="45"/>
        <v>6.2788870000000004E-3</v>
      </c>
      <c r="I73" s="3">
        <f t="shared" si="46"/>
        <v>6.2646350000000002E-3</v>
      </c>
    </row>
    <row r="74" spans="1:9" x14ac:dyDescent="0.25">
      <c r="A74">
        <v>10000</v>
      </c>
      <c r="B74" s="3">
        <f t="shared" si="39"/>
        <v>1.0647482E-2</v>
      </c>
      <c r="C74" s="3">
        <f t="shared" si="40"/>
        <v>1.0614411000000001E-2</v>
      </c>
      <c r="D74" s="3">
        <f t="shared" si="41"/>
        <v>1.0611333000000001E-2</v>
      </c>
      <c r="E74" s="3">
        <f t="shared" si="42"/>
        <v>1.0604970999999999E-2</v>
      </c>
      <c r="F74" s="3">
        <f t="shared" si="43"/>
        <v>1.0590007E-2</v>
      </c>
      <c r="G74" s="3">
        <f t="shared" si="44"/>
        <v>1.0594312999999999E-2</v>
      </c>
      <c r="H74" s="3">
        <f t="shared" si="45"/>
        <v>1.0588915000000001E-2</v>
      </c>
      <c r="I74" s="3">
        <f t="shared" si="46"/>
        <v>1.059652E-2</v>
      </c>
    </row>
    <row r="75" spans="1:9" x14ac:dyDescent="0.25">
      <c r="A75">
        <v>50000</v>
      </c>
      <c r="B75" s="3">
        <f t="shared" si="39"/>
        <v>4.9700363999999997E-2</v>
      </c>
      <c r="C75" s="3">
        <f t="shared" si="40"/>
        <v>4.9536187000000002E-2</v>
      </c>
      <c r="D75" s="3">
        <f t="shared" si="41"/>
        <v>4.9539554999999999E-2</v>
      </c>
      <c r="E75" s="3">
        <f t="shared" si="42"/>
        <v>4.9481048999999999E-2</v>
      </c>
      <c r="F75" s="3">
        <f t="shared" si="43"/>
        <v>4.9388084999999998E-2</v>
      </c>
      <c r="G75" s="3">
        <f t="shared" si="44"/>
        <v>4.9406274999999999E-2</v>
      </c>
      <c r="H75" s="3">
        <f t="shared" si="45"/>
        <v>4.9360744999999998E-2</v>
      </c>
      <c r="I75" s="3">
        <f t="shared" si="46"/>
        <v>4.9463429000000003E-2</v>
      </c>
    </row>
    <row r="76" spans="1:9" x14ac:dyDescent="0.25">
      <c r="A76">
        <v>100000</v>
      </c>
      <c r="B76" s="3">
        <f t="shared" si="39"/>
        <v>9.9144741999999994E-2</v>
      </c>
      <c r="C76" s="3">
        <f t="shared" si="40"/>
        <v>9.8821633000000006E-2</v>
      </c>
      <c r="D76" s="3">
        <f t="shared" si="41"/>
        <v>9.8830699999999994E-2</v>
      </c>
      <c r="E76" s="3">
        <f t="shared" si="42"/>
        <v>9.8729774000000006E-2</v>
      </c>
      <c r="F76" s="3">
        <f t="shared" si="43"/>
        <v>9.8569974000000005E-2</v>
      </c>
      <c r="G76" s="3">
        <f t="shared" si="44"/>
        <v>9.8574526999999995E-2</v>
      </c>
      <c r="H76" s="3">
        <f t="shared" si="45"/>
        <v>9.8471284000000006E-2</v>
      </c>
      <c r="I76" s="3">
        <f t="shared" si="46"/>
        <v>9.8698839999999996E-2</v>
      </c>
    </row>
    <row r="77" spans="1:9" x14ac:dyDescent="0.25">
      <c r="A77">
        <v>140000</v>
      </c>
      <c r="B77" s="3">
        <f t="shared" si="39"/>
        <v>0.13851466800000001</v>
      </c>
      <c r="C77" s="3">
        <f t="shared" si="40"/>
        <v>0.138055339</v>
      </c>
      <c r="D77" s="3">
        <f t="shared" si="41"/>
        <v>0.13809359099999999</v>
      </c>
      <c r="E77" s="3">
        <f t="shared" si="42"/>
        <v>0.13795059900000001</v>
      </c>
      <c r="F77" s="3">
        <f t="shared" si="43"/>
        <v>0.13772943600000001</v>
      </c>
      <c r="G77" s="3">
        <f t="shared" si="44"/>
        <v>0.13773118000000001</v>
      </c>
      <c r="H77" s="3">
        <f t="shared" si="45"/>
        <v>0.13756611899999999</v>
      </c>
      <c r="I77" s="3">
        <f t="shared" si="46"/>
        <v>0.137911916</v>
      </c>
    </row>
    <row r="79" spans="1:9" x14ac:dyDescent="0.25">
      <c r="A79" s="4" t="s">
        <v>9</v>
      </c>
      <c r="B79" s="4"/>
      <c r="C79" s="4"/>
      <c r="D79" s="4"/>
      <c r="E79" s="4"/>
      <c r="F79" s="4"/>
      <c r="G79" s="4"/>
      <c r="H79" s="4"/>
      <c r="I79" s="4"/>
    </row>
    <row r="80" spans="1:9" x14ac:dyDescent="0.25">
      <c r="A80" t="s">
        <v>1</v>
      </c>
      <c r="B80">
        <v>1</v>
      </c>
      <c r="C80">
        <v>2</v>
      </c>
      <c r="D80">
        <v>3</v>
      </c>
      <c r="E80">
        <v>4</v>
      </c>
      <c r="F80">
        <v>5</v>
      </c>
      <c r="G80">
        <v>6</v>
      </c>
      <c r="H80">
        <v>7</v>
      </c>
      <c r="I80">
        <v>8</v>
      </c>
    </row>
    <row r="81" spans="1:9" x14ac:dyDescent="0.25">
      <c r="A81">
        <v>100</v>
      </c>
      <c r="B81" s="3">
        <f>(M41/5)*1000000</f>
        <v>58.1920438</v>
      </c>
      <c r="C81" s="3">
        <f t="shared" ref="C81:I81" si="47">(N41/5)*1000000</f>
        <v>57.954527399999996</v>
      </c>
      <c r="D81" s="3">
        <f t="shared" si="47"/>
        <v>57.932979000000003</v>
      </c>
      <c r="E81" s="3">
        <f t="shared" si="47"/>
        <v>57.267479199999997</v>
      </c>
      <c r="F81" s="3">
        <f t="shared" si="47"/>
        <v>57.924870599999998</v>
      </c>
      <c r="G81" s="3">
        <f t="shared" si="47"/>
        <v>58.010086599999994</v>
      </c>
      <c r="H81" s="3">
        <f t="shared" si="47"/>
        <v>58.420433199999998</v>
      </c>
      <c r="I81" s="3">
        <f t="shared" si="47"/>
        <v>57.567469800000005</v>
      </c>
    </row>
    <row r="82" spans="1:9" x14ac:dyDescent="0.25">
      <c r="A82">
        <v>500</v>
      </c>
      <c r="B82" s="3">
        <f t="shared" ref="B82:B88" si="48">(M42/5)*1000000</f>
        <v>438.10100000000006</v>
      </c>
      <c r="C82" s="3">
        <f t="shared" ref="C82:C88" si="49">(N42/5)*1000000</f>
        <v>435.92759999999993</v>
      </c>
      <c r="D82" s="3">
        <f t="shared" ref="D82:D88" si="50">(O42/5)*1000000</f>
        <v>434.68300000000005</v>
      </c>
      <c r="E82" s="3">
        <f t="shared" ref="E82:E88" si="51">(P42/5)*1000000</f>
        <v>433.06220000000002</v>
      </c>
      <c r="F82" s="3">
        <f t="shared" ref="F82:F88" si="52">(Q42/5)*1000000</f>
        <v>433.90219999999999</v>
      </c>
      <c r="G82" s="3">
        <f t="shared" ref="G82:G88" si="53">(R42/5)*1000000</f>
        <v>435.74279999999999</v>
      </c>
      <c r="H82" s="3">
        <f t="shared" ref="H82:H88" si="54">(S42/5)*1000000</f>
        <v>434.71220000000005</v>
      </c>
      <c r="I82" s="3">
        <f t="shared" ref="I82:I88" si="55">(T42/5)*1000000</f>
        <v>435.601</v>
      </c>
    </row>
    <row r="83" spans="1:9" x14ac:dyDescent="0.25">
      <c r="A83">
        <v>1000</v>
      </c>
      <c r="B83" s="3">
        <f t="shared" si="48"/>
        <v>954.82499999999993</v>
      </c>
      <c r="C83" s="3">
        <f t="shared" si="49"/>
        <v>952.53219999999988</v>
      </c>
      <c r="D83" s="3">
        <f t="shared" si="50"/>
        <v>952.25480000000005</v>
      </c>
      <c r="E83" s="3">
        <f t="shared" si="51"/>
        <v>950.74140000000011</v>
      </c>
      <c r="F83" s="3">
        <f t="shared" si="52"/>
        <v>949.72040000000004</v>
      </c>
      <c r="G83" s="3">
        <f t="shared" si="53"/>
        <v>950.96140000000003</v>
      </c>
      <c r="H83" s="3">
        <f t="shared" si="54"/>
        <v>949.37560000000008</v>
      </c>
      <c r="I83" s="3">
        <f t="shared" si="55"/>
        <v>948.625</v>
      </c>
    </row>
    <row r="84" spans="1:9" x14ac:dyDescent="0.25">
      <c r="A84">
        <v>5000</v>
      </c>
      <c r="B84" s="3">
        <f t="shared" si="48"/>
        <v>4996.0162</v>
      </c>
      <c r="C84" s="3">
        <f t="shared" si="49"/>
        <v>4985.0654000000004</v>
      </c>
      <c r="D84" s="3">
        <f t="shared" si="50"/>
        <v>4982.1469999999999</v>
      </c>
      <c r="E84" s="3">
        <f t="shared" si="51"/>
        <v>4974.6185999999998</v>
      </c>
      <c r="F84" s="3">
        <f t="shared" si="52"/>
        <v>4970.8779999999997</v>
      </c>
      <c r="G84" s="3">
        <f t="shared" si="53"/>
        <v>4975.165</v>
      </c>
      <c r="H84" s="3">
        <f t="shared" si="54"/>
        <v>4970.1127999999999</v>
      </c>
      <c r="I84" s="3">
        <f t="shared" si="55"/>
        <v>4960.8484000000008</v>
      </c>
    </row>
    <row r="85" spans="1:9" x14ac:dyDescent="0.25">
      <c r="A85">
        <v>10000</v>
      </c>
      <c r="B85" s="3">
        <f t="shared" si="48"/>
        <v>10032.734200000001</v>
      </c>
      <c r="C85" s="3">
        <f t="shared" si="49"/>
        <v>10013.370199999999</v>
      </c>
      <c r="D85" s="3">
        <f t="shared" si="50"/>
        <v>10013.291999999999</v>
      </c>
      <c r="E85" s="3">
        <f t="shared" si="51"/>
        <v>9995.8844000000008</v>
      </c>
      <c r="F85" s="3">
        <f t="shared" si="52"/>
        <v>9986.3207999999995</v>
      </c>
      <c r="G85" s="3">
        <f t="shared" si="53"/>
        <v>9993.0496000000003</v>
      </c>
      <c r="H85" s="3">
        <f t="shared" si="54"/>
        <v>9984.6965999999993</v>
      </c>
      <c r="I85" s="3">
        <f t="shared" si="55"/>
        <v>9961.5469999999987</v>
      </c>
    </row>
    <row r="86" spans="1:9" x14ac:dyDescent="0.25">
      <c r="A86">
        <v>50000</v>
      </c>
      <c r="B86" s="3">
        <f t="shared" si="48"/>
        <v>50247.663200000003</v>
      </c>
      <c r="C86" s="3">
        <f t="shared" si="49"/>
        <v>50165.110800000002</v>
      </c>
      <c r="D86" s="3">
        <f t="shared" si="50"/>
        <v>50144.416000000005</v>
      </c>
      <c r="E86" s="3">
        <f t="shared" si="51"/>
        <v>50083.422600000005</v>
      </c>
      <c r="F86" s="3">
        <f t="shared" si="52"/>
        <v>49983.042399999998</v>
      </c>
      <c r="G86" s="3">
        <f t="shared" si="53"/>
        <v>50003.313999999998</v>
      </c>
      <c r="H86" s="3">
        <f t="shared" si="54"/>
        <v>49977.1446</v>
      </c>
      <c r="I86" s="3">
        <f t="shared" si="55"/>
        <v>49862.793000000005</v>
      </c>
    </row>
    <row r="87" spans="1:9" x14ac:dyDescent="0.25">
      <c r="A87">
        <v>100000</v>
      </c>
      <c r="B87" s="3">
        <f t="shared" si="48"/>
        <v>100383.5082</v>
      </c>
      <c r="C87" s="3">
        <f t="shared" si="49"/>
        <v>100267.74400000001</v>
      </c>
      <c r="D87" s="3">
        <f t="shared" si="50"/>
        <v>100183.6658</v>
      </c>
      <c r="E87" s="3">
        <f t="shared" si="51"/>
        <v>100076.15080000002</v>
      </c>
      <c r="F87" s="3">
        <f t="shared" si="52"/>
        <v>99771.112200000003</v>
      </c>
      <c r="G87" s="3">
        <f t="shared" si="53"/>
        <v>99912.613600000012</v>
      </c>
      <c r="H87" s="3">
        <f t="shared" si="54"/>
        <v>99888.622800000012</v>
      </c>
      <c r="I87" s="3">
        <f t="shared" si="55"/>
        <v>99617.50499999999</v>
      </c>
    </row>
    <row r="88" spans="1:9" x14ac:dyDescent="0.25">
      <c r="A88">
        <v>140000</v>
      </c>
      <c r="B88" s="3">
        <f t="shared" si="48"/>
        <v>140482.78340000001</v>
      </c>
      <c r="C88" s="3">
        <f t="shared" si="49"/>
        <v>140291.01139999999</v>
      </c>
      <c r="D88" s="3">
        <f t="shared" si="50"/>
        <v>140101.54</v>
      </c>
      <c r="E88" s="3">
        <f t="shared" si="51"/>
        <v>139998.24519999998</v>
      </c>
      <c r="F88" s="3">
        <f t="shared" si="52"/>
        <v>139584.23140000002</v>
      </c>
      <c r="G88" s="3">
        <f t="shared" si="53"/>
        <v>139752.57879999999</v>
      </c>
      <c r="H88" s="3">
        <f t="shared" si="54"/>
        <v>139780.62860000003</v>
      </c>
      <c r="I88" s="3">
        <f t="shared" si="55"/>
        <v>139310.57460000002</v>
      </c>
    </row>
    <row r="90" spans="1:9" x14ac:dyDescent="0.25">
      <c r="A90" s="5" t="s">
        <v>10</v>
      </c>
      <c r="B90" s="5"/>
      <c r="C90" s="5"/>
      <c r="D90" s="5"/>
      <c r="E90" s="5"/>
      <c r="F90" s="5"/>
      <c r="G90" s="5"/>
      <c r="H90" s="5"/>
      <c r="I90" s="5"/>
    </row>
    <row r="91" spans="1:9" x14ac:dyDescent="0.25">
      <c r="A91" t="s">
        <v>0</v>
      </c>
      <c r="B91">
        <v>1</v>
      </c>
      <c r="C91">
        <v>2</v>
      </c>
      <c r="D91">
        <v>3</v>
      </c>
      <c r="E91">
        <v>4</v>
      </c>
      <c r="F91">
        <v>5</v>
      </c>
      <c r="G91">
        <v>6</v>
      </c>
      <c r="H91">
        <v>7</v>
      </c>
      <c r="I91">
        <v>8</v>
      </c>
    </row>
    <row r="92" spans="1:9" x14ac:dyDescent="0.25">
      <c r="A92">
        <v>100</v>
      </c>
      <c r="B92" s="1">
        <f>B81-B70</f>
        <v>58.188130942999997</v>
      </c>
      <c r="C92" s="1">
        <f t="shared" ref="C92:I92" si="56">C81-C70</f>
        <v>57.950614735999999</v>
      </c>
      <c r="D92" s="1">
        <f t="shared" si="56"/>
        <v>57.929074042000003</v>
      </c>
      <c r="E92" s="1">
        <f t="shared" si="56"/>
        <v>57.263566904999998</v>
      </c>
      <c r="F92" s="1">
        <f t="shared" si="56"/>
        <v>57.920939990999997</v>
      </c>
      <c r="G92" s="1">
        <f t="shared" si="56"/>
        <v>58.006158037999995</v>
      </c>
      <c r="H92" s="1">
        <f t="shared" si="56"/>
        <v>58.416504615000001</v>
      </c>
      <c r="I92" s="1">
        <f t="shared" si="56"/>
        <v>57.563551292000007</v>
      </c>
    </row>
    <row r="93" spans="1:9" x14ac:dyDescent="0.25">
      <c r="A93">
        <v>500</v>
      </c>
      <c r="B93" s="1">
        <f t="shared" ref="B93:I93" si="57">B82-B71</f>
        <v>438.09705259100008</v>
      </c>
      <c r="C93" s="1">
        <f t="shared" si="57"/>
        <v>435.92365230999991</v>
      </c>
      <c r="D93" s="1">
        <f t="shared" si="57"/>
        <v>434.67906271800007</v>
      </c>
      <c r="E93" s="1">
        <f t="shared" si="57"/>
        <v>433.05825807600002</v>
      </c>
      <c r="F93" s="1">
        <f t="shared" si="57"/>
        <v>433.89823968999997</v>
      </c>
      <c r="G93" s="1">
        <f t="shared" si="57"/>
        <v>435.738851119</v>
      </c>
      <c r="H93" s="1">
        <f t="shared" si="57"/>
        <v>434.70822636900004</v>
      </c>
      <c r="I93" s="1">
        <f t="shared" si="57"/>
        <v>435.59705883800001</v>
      </c>
    </row>
    <row r="94" spans="1:9" x14ac:dyDescent="0.25">
      <c r="A94">
        <v>1000</v>
      </c>
      <c r="B94" s="1">
        <f t="shared" ref="B94:I94" si="58">B83-B72</f>
        <v>954.82095932899995</v>
      </c>
      <c r="C94" s="1">
        <f t="shared" si="58"/>
        <v>952.52816958699987</v>
      </c>
      <c r="D94" s="1">
        <f t="shared" si="58"/>
        <v>952.250771697</v>
      </c>
      <c r="E94" s="1">
        <f t="shared" si="58"/>
        <v>950.73737354400009</v>
      </c>
      <c r="F94" s="1">
        <f t="shared" si="58"/>
        <v>949.716350358</v>
      </c>
      <c r="G94" s="1">
        <f t="shared" si="58"/>
        <v>950.95736090800006</v>
      </c>
      <c r="H94" s="1">
        <f t="shared" si="58"/>
        <v>949.3715538240001</v>
      </c>
      <c r="I94" s="1">
        <f t="shared" si="58"/>
        <v>948.62096850399996</v>
      </c>
    </row>
    <row r="95" spans="1:9" x14ac:dyDescent="0.25">
      <c r="A95">
        <v>5000</v>
      </c>
      <c r="B95" s="1">
        <f t="shared" ref="B95:I95" si="59">B84-B73</f>
        <v>4996.009911487</v>
      </c>
      <c r="C95" s="1">
        <f t="shared" si="59"/>
        <v>4985.0591209210006</v>
      </c>
      <c r="D95" s="1">
        <f t="shared" si="59"/>
        <v>4982.1407267619998</v>
      </c>
      <c r="E95" s="1">
        <f t="shared" si="59"/>
        <v>4974.6123298809998</v>
      </c>
      <c r="F95" s="1">
        <f t="shared" si="59"/>
        <v>4970.8717229269996</v>
      </c>
      <c r="G95" s="1">
        <f t="shared" si="59"/>
        <v>4975.1587250869998</v>
      </c>
      <c r="H95" s="1">
        <f t="shared" si="59"/>
        <v>4970.1065211129999</v>
      </c>
      <c r="I95" s="1">
        <f t="shared" si="59"/>
        <v>4960.842135365001</v>
      </c>
    </row>
    <row r="96" spans="1:9" x14ac:dyDescent="0.25">
      <c r="A96">
        <v>10000</v>
      </c>
      <c r="B96" s="1">
        <f t="shared" ref="B96:I96" si="60">B85-B74</f>
        <v>10032.723552518</v>
      </c>
      <c r="C96" s="1">
        <f t="shared" si="60"/>
        <v>10013.359585589</v>
      </c>
      <c r="D96" s="1">
        <f t="shared" si="60"/>
        <v>10013.281388666999</v>
      </c>
      <c r="E96" s="1">
        <f t="shared" si="60"/>
        <v>9995.8737950290015</v>
      </c>
      <c r="F96" s="1">
        <f t="shared" si="60"/>
        <v>9986.3102099930002</v>
      </c>
      <c r="G96" s="1">
        <f t="shared" si="60"/>
        <v>9993.0390056870001</v>
      </c>
      <c r="H96" s="1">
        <f t="shared" si="60"/>
        <v>9984.6860110849993</v>
      </c>
      <c r="I96" s="1">
        <f t="shared" si="60"/>
        <v>9961.5364034799986</v>
      </c>
    </row>
    <row r="97" spans="1:9" x14ac:dyDescent="0.25">
      <c r="A97">
        <v>50000</v>
      </c>
      <c r="B97" s="1">
        <f t="shared" ref="B97:I97" si="61">B86-B75</f>
        <v>50247.613499636005</v>
      </c>
      <c r="C97" s="1">
        <f t="shared" si="61"/>
        <v>50165.061263813004</v>
      </c>
      <c r="D97" s="1">
        <f t="shared" si="61"/>
        <v>50144.366460445002</v>
      </c>
      <c r="E97" s="1">
        <f t="shared" si="61"/>
        <v>50083.373118951007</v>
      </c>
      <c r="F97" s="1">
        <f t="shared" si="61"/>
        <v>49982.993011915001</v>
      </c>
      <c r="G97" s="1">
        <f t="shared" si="61"/>
        <v>50003.264593724998</v>
      </c>
      <c r="H97" s="1">
        <f t="shared" si="61"/>
        <v>49977.095239255003</v>
      </c>
      <c r="I97" s="1">
        <f t="shared" si="61"/>
        <v>49862.743536571004</v>
      </c>
    </row>
    <row r="98" spans="1:9" x14ac:dyDescent="0.25">
      <c r="A98">
        <v>100000</v>
      </c>
      <c r="B98" s="1">
        <f t="shared" ref="B98:I98" si="62">B87-B76</f>
        <v>100383.409055258</v>
      </c>
      <c r="C98" s="1">
        <f t="shared" si="62"/>
        <v>100267.64517836701</v>
      </c>
      <c r="D98" s="1">
        <f t="shared" si="62"/>
        <v>100183.56696930001</v>
      </c>
      <c r="E98" s="1">
        <f t="shared" si="62"/>
        <v>100076.05207022601</v>
      </c>
      <c r="F98" s="1">
        <f t="shared" si="62"/>
        <v>99771.013630026006</v>
      </c>
      <c r="G98" s="1">
        <f t="shared" si="62"/>
        <v>99912.515025473011</v>
      </c>
      <c r="H98" s="1">
        <f t="shared" si="62"/>
        <v>99888.524328716012</v>
      </c>
      <c r="I98" s="1">
        <f t="shared" si="62"/>
        <v>99617.406301159994</v>
      </c>
    </row>
    <row r="99" spans="1:9" x14ac:dyDescent="0.25">
      <c r="A99">
        <v>140000</v>
      </c>
      <c r="B99" s="1">
        <f t="shared" ref="B99:I99" si="63">B88-B77</f>
        <v>140482.644885332</v>
      </c>
      <c r="C99" s="1">
        <f t="shared" si="63"/>
        <v>140290.873344661</v>
      </c>
      <c r="D99" s="1">
        <f t="shared" si="63"/>
        <v>140101.40190640901</v>
      </c>
      <c r="E99" s="1">
        <f t="shared" si="63"/>
        <v>139998.10724940099</v>
      </c>
      <c r="F99" s="1">
        <f t="shared" si="63"/>
        <v>139584.09367056401</v>
      </c>
      <c r="G99" s="1">
        <f t="shared" si="63"/>
        <v>139752.44106881999</v>
      </c>
      <c r="H99" s="1">
        <f t="shared" si="63"/>
        <v>139780.49103388103</v>
      </c>
      <c r="I99" s="1">
        <f t="shared" si="63"/>
        <v>139310.43668808401</v>
      </c>
    </row>
  </sheetData>
  <mergeCells count="9">
    <mergeCell ref="A68:I68"/>
    <mergeCell ref="A79:I79"/>
    <mergeCell ref="A90:I90"/>
    <mergeCell ref="A57:I57"/>
    <mergeCell ref="A1:I1"/>
    <mergeCell ref="A12:I12"/>
    <mergeCell ref="A23:I23"/>
    <mergeCell ref="A35:I35"/>
    <mergeCell ref="A46:I46"/>
  </mergeCells>
  <conditionalFormatting sqref="B14:I14">
    <cfRule type="cellIs" dxfId="47" priority="47" operator="lessThan">
      <formula>35</formula>
    </cfRule>
    <cfRule type="cellIs" dxfId="46" priority="48" operator="greaterThan">
      <formula>165</formula>
    </cfRule>
  </conditionalFormatting>
  <conditionalFormatting sqref="B15:I15">
    <cfRule type="cellIs" dxfId="45" priority="46" operator="greaterThan">
      <formula>585</formula>
    </cfRule>
    <cfRule type="cellIs" dxfId="44" priority="45" operator="lessThan">
      <formula>415</formula>
    </cfRule>
  </conditionalFormatting>
  <conditionalFormatting sqref="B16:I16">
    <cfRule type="cellIs" dxfId="43" priority="44" operator="greaterThan">
      <formula>1110</formula>
    </cfRule>
    <cfRule type="cellIs" dxfId="42" priority="43" operator="lessThan">
      <formula>890</formula>
    </cfRule>
  </conditionalFormatting>
  <conditionalFormatting sqref="B17:I17">
    <cfRule type="cellIs" dxfId="41" priority="42" operator="lessThan">
      <formula>4690</formula>
    </cfRule>
    <cfRule type="cellIs" dxfId="40" priority="41" operator="greaterThan">
      <formula>5310</formula>
    </cfRule>
  </conditionalFormatting>
  <conditionalFormatting sqref="B18:I18">
    <cfRule type="cellIs" dxfId="39" priority="40" operator="lessThan">
      <formula>9440</formula>
    </cfRule>
    <cfRule type="cellIs" dxfId="38" priority="39" operator="greaterThan">
      <formula>10560</formula>
    </cfRule>
  </conditionalFormatting>
  <conditionalFormatting sqref="B19:I19">
    <cfRule type="cellIs" dxfId="37" priority="38" operator="greaterThan">
      <formula>52560</formula>
    </cfRule>
    <cfRule type="cellIs" dxfId="36" priority="37" operator="lessThan">
      <formula>47440</formula>
    </cfRule>
  </conditionalFormatting>
  <conditionalFormatting sqref="B20:I20">
    <cfRule type="cellIs" dxfId="35" priority="36" operator="greaterThan">
      <formula>105060</formula>
    </cfRule>
    <cfRule type="cellIs" dxfId="34" priority="35" operator="lessThan">
      <formula>94940</formula>
    </cfRule>
  </conditionalFormatting>
  <conditionalFormatting sqref="B21:I21">
    <cfRule type="cellIs" dxfId="33" priority="34" operator="greaterThan">
      <formula>147060</formula>
    </cfRule>
    <cfRule type="cellIs" dxfId="32" priority="33" operator="lessThan">
      <formula>132940</formula>
    </cfRule>
  </conditionalFormatting>
  <conditionalFormatting sqref="B48:I48">
    <cfRule type="cellIs" dxfId="31" priority="31" operator="lessThan">
      <formula>35</formula>
    </cfRule>
    <cfRule type="cellIs" dxfId="30" priority="32" operator="greaterThan">
      <formula>165</formula>
    </cfRule>
  </conditionalFormatting>
  <conditionalFormatting sqref="B49:I49">
    <cfRule type="cellIs" dxfId="29" priority="30" operator="greaterThan">
      <formula>585</formula>
    </cfRule>
    <cfRule type="cellIs" dxfId="28" priority="29" operator="lessThan">
      <formula>415</formula>
    </cfRule>
  </conditionalFormatting>
  <conditionalFormatting sqref="B50:I50">
    <cfRule type="cellIs" dxfId="27" priority="28" operator="greaterThan">
      <formula>1110</formula>
    </cfRule>
    <cfRule type="cellIs" dxfId="26" priority="27" operator="lessThan">
      <formula>890</formula>
    </cfRule>
  </conditionalFormatting>
  <conditionalFormatting sqref="B51:I51">
    <cfRule type="cellIs" dxfId="25" priority="25" operator="lessThan">
      <formula>4690</formula>
    </cfRule>
    <cfRule type="cellIs" dxfId="24" priority="26" operator="greaterThan">
      <formula>5310</formula>
    </cfRule>
  </conditionalFormatting>
  <conditionalFormatting sqref="B52:I52">
    <cfRule type="cellIs" dxfId="23" priority="24" operator="greaterThan">
      <formula>10560</formula>
    </cfRule>
    <cfRule type="cellIs" dxfId="22" priority="23" operator="lessThan">
      <formula>9440</formula>
    </cfRule>
  </conditionalFormatting>
  <conditionalFormatting sqref="B53:I53">
    <cfRule type="cellIs" dxfId="21" priority="22" operator="greaterThan">
      <formula>52560</formula>
    </cfRule>
    <cfRule type="cellIs" dxfId="20" priority="21" operator="lessThan">
      <formula>47440</formula>
    </cfRule>
  </conditionalFormatting>
  <conditionalFormatting sqref="B54:I54">
    <cfRule type="cellIs" dxfId="19" priority="19" operator="lessThan">
      <formula>94940</formula>
    </cfRule>
    <cfRule type="cellIs" dxfId="18" priority="20" operator="greaterThan">
      <formula>105060</formula>
    </cfRule>
  </conditionalFormatting>
  <conditionalFormatting sqref="B55:I55">
    <cfRule type="cellIs" dxfId="17" priority="18" operator="greaterThan">
      <formula>147060</formula>
    </cfRule>
    <cfRule type="cellIs" dxfId="16" priority="17" operator="lessThan">
      <formula>132940</formula>
    </cfRule>
  </conditionalFormatting>
  <conditionalFormatting sqref="B81:I81">
    <cfRule type="cellIs" dxfId="15" priority="16" operator="greaterThan">
      <formula>165</formula>
    </cfRule>
    <cfRule type="cellIs" dxfId="14" priority="15" operator="lessThan">
      <formula>35</formula>
    </cfRule>
  </conditionalFormatting>
  <conditionalFormatting sqref="B82:I82">
    <cfRule type="cellIs" dxfId="13" priority="13" operator="lessThan">
      <formula>415</formula>
    </cfRule>
    <cfRule type="cellIs" dxfId="12" priority="14" operator="greaterThan">
      <formula>585</formula>
    </cfRule>
  </conditionalFormatting>
  <conditionalFormatting sqref="B83:I83">
    <cfRule type="cellIs" dxfId="11" priority="12" operator="greaterThan">
      <formula>1110</formula>
    </cfRule>
    <cfRule type="cellIs" dxfId="10" priority="11" operator="lessThan">
      <formula>890</formula>
    </cfRule>
  </conditionalFormatting>
  <conditionalFormatting sqref="B84:I84">
    <cfRule type="cellIs" dxfId="9" priority="10" operator="greaterThan">
      <formula>5310</formula>
    </cfRule>
    <cfRule type="cellIs" dxfId="8" priority="9" operator="lessThan">
      <formula>4690</formula>
    </cfRule>
  </conditionalFormatting>
  <conditionalFormatting sqref="B85:I85">
    <cfRule type="cellIs" dxfId="7" priority="7" operator="lessThan">
      <formula>9440</formula>
    </cfRule>
    <cfRule type="cellIs" dxfId="6" priority="8" operator="greaterThan">
      <formula>10560</formula>
    </cfRule>
  </conditionalFormatting>
  <conditionalFormatting sqref="B86:I86">
    <cfRule type="cellIs" dxfId="5" priority="6" operator="greaterThan">
      <formula>52560</formula>
    </cfRule>
    <cfRule type="cellIs" dxfId="4" priority="5" operator="lessThan">
      <formula>47440</formula>
    </cfRule>
  </conditionalFormatting>
  <conditionalFormatting sqref="B87:I87">
    <cfRule type="cellIs" dxfId="3" priority="4" operator="greaterThan">
      <formula>105060</formula>
    </cfRule>
    <cfRule type="cellIs" dxfId="2" priority="3" operator="lessThan">
      <formula>94940</formula>
    </cfRule>
  </conditionalFormatting>
  <conditionalFormatting sqref="B88:I88">
    <cfRule type="cellIs" dxfId="1" priority="2" operator="greaterThan">
      <formula>147060</formula>
    </cfRule>
    <cfRule type="cellIs" dxfId="0" priority="1" operator="lessThan">
      <formula>132940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</dc:creator>
  <cp:lastModifiedBy>Shaev Andrew</cp:lastModifiedBy>
  <dcterms:created xsi:type="dcterms:W3CDTF">2015-06-05T18:17:20Z</dcterms:created>
  <dcterms:modified xsi:type="dcterms:W3CDTF">2026-04-27T12:41:10Z</dcterms:modified>
</cp:coreProperties>
</file>